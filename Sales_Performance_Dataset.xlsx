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ortfolio docs\"/>
    </mc:Choice>
  </mc:AlternateContent>
  <xr:revisionPtr revIDLastSave="0" documentId="13_ncr:1_{69E9B3AF-1F1A-46DF-9687-D57D2C77454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</calcChain>
</file>

<file path=xl/sharedStrings.xml><?xml version="1.0" encoding="utf-8"?>
<sst xmlns="http://schemas.openxmlformats.org/spreadsheetml/2006/main" count="1510" uniqueCount="26">
  <si>
    <t>Order Date</t>
  </si>
  <si>
    <t>Region</t>
  </si>
  <si>
    <t>Category</t>
  </si>
  <si>
    <t>Product</t>
  </si>
  <si>
    <t>Quantity Sold</t>
  </si>
  <si>
    <t>Sales Amount</t>
  </si>
  <si>
    <t>Profit</t>
  </si>
  <si>
    <t>East</t>
  </si>
  <si>
    <t>North</t>
  </si>
  <si>
    <t>West</t>
  </si>
  <si>
    <t>South</t>
  </si>
  <si>
    <t>Office Supplies</t>
  </si>
  <si>
    <t>Technology</t>
  </si>
  <si>
    <t>Furniture</t>
  </si>
  <si>
    <t>Binder</t>
  </si>
  <si>
    <t>Pen</t>
  </si>
  <si>
    <t>Tablet</t>
  </si>
  <si>
    <t>Printer</t>
  </si>
  <si>
    <t>Desk</t>
  </si>
  <si>
    <t>Cabinet</t>
  </si>
  <si>
    <t>Chair</t>
  </si>
  <si>
    <t>Laptop</t>
  </si>
  <si>
    <t>Paper</t>
  </si>
  <si>
    <t>Year</t>
  </si>
  <si>
    <t>Profit Margin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</si>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</sst>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043D8-7789-4CC6-99C0-BF0220BCFB80}" name="Table1" displayName="Table1" ref="A1:J501" totalsRowShown="0" headerRowDxfId="3" headerRowBorderDxfId="5" tableBorderDxfId="6">
  <autoFilter ref="A1:J501" xr:uid="{337043D8-7789-4CC6-99C0-BF0220BCFB80}"/>
  <tableColumns count="10">
    <tableColumn id="1" xr3:uid="{C746D9C6-0AF4-488E-B980-3AB8C4CB3F4C}" name="Order Date" dataDxfId="4"/>
    <tableColumn id="2" xr3:uid="{2B216E5A-184F-4B6E-A5A5-89856B52E6A7}" name="Region"/>
    <tableColumn id="3" xr3:uid="{84932DA0-2D9E-43BF-B0D6-6AA0E820F8B5}" name="Category"/>
    <tableColumn id="4" xr3:uid="{0455ED7F-310C-4F59-8830-3E5DAE2C45C7}" name="Product"/>
    <tableColumn id="5" xr3:uid="{59EAFD16-A132-4EC1-9813-2E7537DDFB60}" name="Quantity Sold"/>
    <tableColumn id="6" xr3:uid="{73155F0F-1E42-4D49-B5AB-56E6A6F0CDDE}" name="Sales Amount"/>
    <tableColumn id="7" xr3:uid="{89CBF261-3C7A-483D-A444-E85B56874FD3}" name="Profit"/>
    <tableColumn id="8" xr3:uid="{2549FD19-2220-4FD2-9CFB-C9460C056E93}" name="Year" dataDxfId="2">
      <calculatedColumnFormula>YEAR(Table1[[#This Row],[Order Date]])</calculatedColumnFormula>
    </tableColumn>
    <tableColumn id="9" xr3:uid="{B9137C0F-1317-45CB-BE94-0E140282BBA3}" name="Month" dataDxfId="1">
      <calculatedColumnFormula>TEXT(Table1[[#This Row],[Order Date]],"mmmm")</calculatedColumnFormula>
    </tableColumn>
    <tableColumn id="10" xr3:uid="{56BAB2FE-F0FD-4B42-AFD4-4042B03FB890}" name="Profit Margin" dataDxfId="0">
      <calculatedColumnFormula>Table1[[#This Row],[Profit]]/Table1[[#This Row],[Sales Amount]]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topLeftCell="E1" workbookViewId="0">
      <selection activeCell="H8" sqref="H8"/>
    </sheetView>
  </sheetViews>
  <sheetFormatPr defaultRowHeight="14.5" x14ac:dyDescent="0.35"/>
  <cols>
    <col min="1" max="1" width="17.81640625" bestFit="1" customWidth="1"/>
    <col min="2" max="2" width="11" bestFit="1" customWidth="1"/>
    <col min="3" max="3" width="13.1796875" bestFit="1" customWidth="1"/>
    <col min="4" max="4" width="12" bestFit="1" customWidth="1"/>
    <col min="5" max="5" width="14.1796875" customWidth="1"/>
    <col min="6" max="6" width="14.26953125" customWidth="1"/>
    <col min="7" max="7" width="7.54296875" customWidth="1"/>
    <col min="9" max="9" width="11.08984375" bestFit="1" customWidth="1"/>
    <col min="10" max="10" width="16.453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25</v>
      </c>
      <c r="J1" s="2" t="s">
        <v>24</v>
      </c>
    </row>
    <row r="2" spans="1:10" x14ac:dyDescent="0.35">
      <c r="A2" s="1">
        <v>45275</v>
      </c>
      <c r="B2" t="s">
        <v>7</v>
      </c>
      <c r="C2" t="s">
        <v>11</v>
      </c>
      <c r="D2" t="s">
        <v>14</v>
      </c>
      <c r="E2">
        <v>8</v>
      </c>
      <c r="F2">
        <v>319.39999999999998</v>
      </c>
      <c r="G2">
        <v>31.84</v>
      </c>
      <c r="H2">
        <f>YEAR(Table1[[#This Row],[Order Date]])</f>
        <v>2023</v>
      </c>
      <c r="I2" t="str">
        <f>TEXT(Table1[[#This Row],[Order Date]],"mmmm")</f>
        <v>December</v>
      </c>
      <c r="J2" s="3">
        <f>Table1[[#This Row],[Profit]]/Table1[[#This Row],[Sales Amount]]</f>
        <v>9.9686912961803389E-2</v>
      </c>
    </row>
    <row r="3" spans="1:10" x14ac:dyDescent="0.35">
      <c r="A3" s="1">
        <v>45141</v>
      </c>
      <c r="B3" t="s">
        <v>7</v>
      </c>
      <c r="C3" t="s">
        <v>11</v>
      </c>
      <c r="D3" t="s">
        <v>14</v>
      </c>
      <c r="E3">
        <v>8</v>
      </c>
      <c r="F3">
        <v>200.17</v>
      </c>
      <c r="G3">
        <v>30</v>
      </c>
      <c r="H3">
        <f>YEAR(Table1[[#This Row],[Order Date]])</f>
        <v>2023</v>
      </c>
      <c r="I3" t="str">
        <f>TEXT(Table1[[#This Row],[Order Date]],"mmmm")</f>
        <v>August</v>
      </c>
      <c r="J3" s="3">
        <f>Table1[[#This Row],[Profit]]/Table1[[#This Row],[Sales Amount]]</f>
        <v>0.14987260828295951</v>
      </c>
    </row>
    <row r="4" spans="1:10" x14ac:dyDescent="0.35">
      <c r="A4" s="1">
        <v>45076</v>
      </c>
      <c r="B4" t="s">
        <v>8</v>
      </c>
      <c r="C4" t="s">
        <v>11</v>
      </c>
      <c r="D4" t="s">
        <v>15</v>
      </c>
      <c r="E4">
        <v>8</v>
      </c>
      <c r="F4">
        <v>424.6</v>
      </c>
      <c r="G4">
        <v>39.729999999999997</v>
      </c>
      <c r="H4">
        <f>YEAR(Table1[[#This Row],[Order Date]])</f>
        <v>2023</v>
      </c>
      <c r="I4" t="str">
        <f>TEXT(Table1[[#This Row],[Order Date]],"mmmm")</f>
        <v>May</v>
      </c>
      <c r="J4" s="3">
        <f>Table1[[#This Row],[Profit]]/Table1[[#This Row],[Sales Amount]]</f>
        <v>9.3570419218087605E-2</v>
      </c>
    </row>
    <row r="5" spans="1:10" x14ac:dyDescent="0.35">
      <c r="A5" s="1">
        <v>45087</v>
      </c>
      <c r="B5" t="s">
        <v>9</v>
      </c>
      <c r="C5" t="s">
        <v>12</v>
      </c>
      <c r="D5" t="s">
        <v>16</v>
      </c>
      <c r="E5">
        <v>6</v>
      </c>
      <c r="F5">
        <v>53.18</v>
      </c>
      <c r="G5">
        <v>13.23</v>
      </c>
      <c r="H5">
        <f>YEAR(Table1[[#This Row],[Order Date]])</f>
        <v>2023</v>
      </c>
      <c r="I5" t="str">
        <f>TEXT(Table1[[#This Row],[Order Date]],"mmmm")</f>
        <v>June</v>
      </c>
      <c r="J5" s="3">
        <f>Table1[[#This Row],[Profit]]/Table1[[#This Row],[Sales Amount]]</f>
        <v>0.24877773599097405</v>
      </c>
    </row>
    <row r="6" spans="1:10" x14ac:dyDescent="0.35">
      <c r="A6" s="1">
        <v>44985</v>
      </c>
      <c r="B6" t="s">
        <v>7</v>
      </c>
      <c r="C6" t="s">
        <v>11</v>
      </c>
      <c r="D6" t="s">
        <v>15</v>
      </c>
      <c r="E6">
        <v>3</v>
      </c>
      <c r="F6">
        <v>222.11</v>
      </c>
      <c r="G6">
        <v>147.65</v>
      </c>
      <c r="H6">
        <f>YEAR(Table1[[#This Row],[Order Date]])</f>
        <v>2023</v>
      </c>
      <c r="I6" t="str">
        <f>TEXT(Table1[[#This Row],[Order Date]],"mmmm")</f>
        <v>February</v>
      </c>
      <c r="J6" s="3">
        <f>Table1[[#This Row],[Profit]]/Table1[[#This Row],[Sales Amount]]</f>
        <v>0.66476070415559851</v>
      </c>
    </row>
    <row r="7" spans="1:10" x14ac:dyDescent="0.35">
      <c r="A7" s="1">
        <v>45057</v>
      </c>
      <c r="B7" t="s">
        <v>8</v>
      </c>
      <c r="C7" t="s">
        <v>12</v>
      </c>
      <c r="D7" t="s">
        <v>17</v>
      </c>
      <c r="E7">
        <v>7</v>
      </c>
      <c r="F7">
        <v>126.74</v>
      </c>
      <c r="G7">
        <v>19.11</v>
      </c>
      <c r="H7">
        <f>YEAR(Table1[[#This Row],[Order Date]])</f>
        <v>2023</v>
      </c>
      <c r="I7" t="str">
        <f>TEXT(Table1[[#This Row],[Order Date]],"mmmm")</f>
        <v>May</v>
      </c>
      <c r="J7" s="3">
        <f>Table1[[#This Row],[Profit]]/Table1[[#This Row],[Sales Amount]]</f>
        <v>0.15078112671611171</v>
      </c>
    </row>
    <row r="8" spans="1:10" x14ac:dyDescent="0.35">
      <c r="A8" s="1">
        <v>45242</v>
      </c>
      <c r="B8" t="s">
        <v>10</v>
      </c>
      <c r="C8" t="s">
        <v>12</v>
      </c>
      <c r="D8" t="s">
        <v>16</v>
      </c>
      <c r="E8">
        <v>9</v>
      </c>
      <c r="F8">
        <v>57.18</v>
      </c>
      <c r="G8">
        <v>42.33</v>
      </c>
      <c r="H8">
        <f>YEAR(Table1[[#This Row],[Order Date]])</f>
        <v>2023</v>
      </c>
      <c r="I8" t="str">
        <f>TEXT(Table1[[#This Row],[Order Date]],"mmmm")</f>
        <v>November</v>
      </c>
      <c r="J8" s="3">
        <f>Table1[[#This Row],[Profit]]/Table1[[#This Row],[Sales Amount]]</f>
        <v>0.74029380902413433</v>
      </c>
    </row>
    <row r="9" spans="1:10" x14ac:dyDescent="0.35">
      <c r="A9" s="1">
        <v>45190</v>
      </c>
      <c r="B9" t="s">
        <v>7</v>
      </c>
      <c r="C9" t="s">
        <v>11</v>
      </c>
      <c r="D9" t="s">
        <v>14</v>
      </c>
      <c r="E9">
        <v>1</v>
      </c>
      <c r="F9">
        <v>166.45</v>
      </c>
      <c r="G9">
        <v>102.75</v>
      </c>
      <c r="H9">
        <f>YEAR(Table1[[#This Row],[Order Date]])</f>
        <v>2023</v>
      </c>
      <c r="I9" t="str">
        <f>TEXT(Table1[[#This Row],[Order Date]],"mmmm")</f>
        <v>September</v>
      </c>
      <c r="J9" s="3">
        <f>Table1[[#This Row],[Profit]]/Table1[[#This Row],[Sales Amount]]</f>
        <v>0.61730249324121367</v>
      </c>
    </row>
    <row r="10" spans="1:10" x14ac:dyDescent="0.35">
      <c r="A10" s="1">
        <v>44980</v>
      </c>
      <c r="B10" t="s">
        <v>10</v>
      </c>
      <c r="C10" t="s">
        <v>13</v>
      </c>
      <c r="D10" t="s">
        <v>18</v>
      </c>
      <c r="E10">
        <v>2</v>
      </c>
      <c r="F10">
        <v>398.81</v>
      </c>
      <c r="G10">
        <v>141.53</v>
      </c>
      <c r="H10">
        <f>YEAR(Table1[[#This Row],[Order Date]])</f>
        <v>2023</v>
      </c>
      <c r="I10" t="str">
        <f>TEXT(Table1[[#This Row],[Order Date]],"mmmm")</f>
        <v>February</v>
      </c>
      <c r="J10" s="3">
        <f>Table1[[#This Row],[Profit]]/Table1[[#This Row],[Sales Amount]]</f>
        <v>0.35488077029161758</v>
      </c>
    </row>
    <row r="11" spans="1:10" x14ac:dyDescent="0.35">
      <c r="A11" s="1">
        <v>45196</v>
      </c>
      <c r="B11" t="s">
        <v>7</v>
      </c>
      <c r="C11" t="s">
        <v>13</v>
      </c>
      <c r="D11" t="s">
        <v>19</v>
      </c>
      <c r="E11">
        <v>8</v>
      </c>
      <c r="F11">
        <v>306.7</v>
      </c>
      <c r="G11">
        <v>82.92</v>
      </c>
      <c r="H11">
        <f>YEAR(Table1[[#This Row],[Order Date]])</f>
        <v>2023</v>
      </c>
      <c r="I11" t="str">
        <f>TEXT(Table1[[#This Row],[Order Date]],"mmmm")</f>
        <v>September</v>
      </c>
      <c r="J11" s="3">
        <f>Table1[[#This Row],[Profit]]/Table1[[#This Row],[Sales Amount]]</f>
        <v>0.27036191718291491</v>
      </c>
    </row>
    <row r="12" spans="1:10" x14ac:dyDescent="0.35">
      <c r="A12" s="1">
        <v>45222</v>
      </c>
      <c r="B12" t="s">
        <v>8</v>
      </c>
      <c r="C12" t="s">
        <v>13</v>
      </c>
      <c r="D12" t="s">
        <v>20</v>
      </c>
      <c r="E12">
        <v>2</v>
      </c>
      <c r="F12">
        <v>292.86</v>
      </c>
      <c r="G12">
        <v>92.15</v>
      </c>
      <c r="H12">
        <f>YEAR(Table1[[#This Row],[Order Date]])</f>
        <v>2023</v>
      </c>
      <c r="I12" t="str">
        <f>TEXT(Table1[[#This Row],[Order Date]],"mmmm")</f>
        <v>October</v>
      </c>
      <c r="J12" s="3">
        <f>Table1[[#This Row],[Profit]]/Table1[[#This Row],[Sales Amount]]</f>
        <v>0.31465546677593392</v>
      </c>
    </row>
    <row r="13" spans="1:10" x14ac:dyDescent="0.35">
      <c r="A13" s="1">
        <v>45178</v>
      </c>
      <c r="B13" t="s">
        <v>9</v>
      </c>
      <c r="C13" t="s">
        <v>12</v>
      </c>
      <c r="D13" t="s">
        <v>21</v>
      </c>
      <c r="E13">
        <v>9</v>
      </c>
      <c r="F13">
        <v>183.32</v>
      </c>
      <c r="G13">
        <v>33.14</v>
      </c>
      <c r="H13">
        <f>YEAR(Table1[[#This Row],[Order Date]])</f>
        <v>2023</v>
      </c>
      <c r="I13" t="str">
        <f>TEXT(Table1[[#This Row],[Order Date]],"mmmm")</f>
        <v>September</v>
      </c>
      <c r="J13" s="3">
        <f>Table1[[#This Row],[Profit]]/Table1[[#This Row],[Sales Amount]]</f>
        <v>0.1807767837660921</v>
      </c>
    </row>
    <row r="14" spans="1:10" x14ac:dyDescent="0.35">
      <c r="A14" s="1">
        <v>45253</v>
      </c>
      <c r="B14" t="s">
        <v>8</v>
      </c>
      <c r="C14" t="s">
        <v>12</v>
      </c>
      <c r="D14" t="s">
        <v>21</v>
      </c>
      <c r="E14">
        <v>8</v>
      </c>
      <c r="F14">
        <v>52.48</v>
      </c>
      <c r="G14">
        <v>124.16</v>
      </c>
      <c r="H14">
        <f>YEAR(Table1[[#This Row],[Order Date]])</f>
        <v>2023</v>
      </c>
      <c r="I14" t="str">
        <f>TEXT(Table1[[#This Row],[Order Date]],"mmmm")</f>
        <v>November</v>
      </c>
      <c r="J14" s="3">
        <f>Table1[[#This Row],[Profit]]/Table1[[#This Row],[Sales Amount]]</f>
        <v>2.3658536585365852</v>
      </c>
    </row>
    <row r="15" spans="1:10" x14ac:dyDescent="0.35">
      <c r="A15" s="1">
        <v>45089</v>
      </c>
      <c r="B15" t="s">
        <v>7</v>
      </c>
      <c r="C15" t="s">
        <v>12</v>
      </c>
      <c r="D15" t="s">
        <v>21</v>
      </c>
      <c r="E15">
        <v>5</v>
      </c>
      <c r="F15">
        <v>466.84</v>
      </c>
      <c r="G15">
        <v>101.15</v>
      </c>
      <c r="H15">
        <f>YEAR(Table1[[#This Row],[Order Date]])</f>
        <v>2023</v>
      </c>
      <c r="I15" t="str">
        <f>TEXT(Table1[[#This Row],[Order Date]],"mmmm")</f>
        <v>June</v>
      </c>
      <c r="J15" s="3">
        <f>Table1[[#This Row],[Profit]]/Table1[[#This Row],[Sales Amount]]</f>
        <v>0.21666952274869336</v>
      </c>
    </row>
    <row r="16" spans="1:10" x14ac:dyDescent="0.35">
      <c r="A16" s="1">
        <v>45127</v>
      </c>
      <c r="B16" t="s">
        <v>9</v>
      </c>
      <c r="C16" t="s">
        <v>11</v>
      </c>
      <c r="D16" t="s">
        <v>15</v>
      </c>
      <c r="E16">
        <v>1</v>
      </c>
      <c r="F16">
        <v>78.599999999999994</v>
      </c>
      <c r="G16">
        <v>53.54</v>
      </c>
      <c r="H16">
        <f>YEAR(Table1[[#This Row],[Order Date]])</f>
        <v>2023</v>
      </c>
      <c r="I16" t="str">
        <f>TEXT(Table1[[#This Row],[Order Date]],"mmmm")</f>
        <v>July</v>
      </c>
      <c r="J16" s="3">
        <f>Table1[[#This Row],[Profit]]/Table1[[#This Row],[Sales Amount]]</f>
        <v>0.68117048346055986</v>
      </c>
    </row>
    <row r="17" spans="1:10" x14ac:dyDescent="0.35">
      <c r="A17" s="1">
        <v>45025</v>
      </c>
      <c r="B17" t="s">
        <v>9</v>
      </c>
      <c r="C17" t="s">
        <v>12</v>
      </c>
      <c r="D17" t="s">
        <v>16</v>
      </c>
      <c r="E17">
        <v>3</v>
      </c>
      <c r="F17">
        <v>262.5</v>
      </c>
      <c r="G17">
        <v>26.74</v>
      </c>
      <c r="H17">
        <f>YEAR(Table1[[#This Row],[Order Date]])</f>
        <v>2023</v>
      </c>
      <c r="I17" t="str">
        <f>TEXT(Table1[[#This Row],[Order Date]],"mmmm")</f>
        <v>April</v>
      </c>
      <c r="J17" s="3">
        <f>Table1[[#This Row],[Profit]]/Table1[[#This Row],[Sales Amount]]</f>
        <v>0.10186666666666666</v>
      </c>
    </row>
    <row r="18" spans="1:10" x14ac:dyDescent="0.35">
      <c r="A18" s="1">
        <v>45057</v>
      </c>
      <c r="B18" t="s">
        <v>8</v>
      </c>
      <c r="C18" t="s">
        <v>13</v>
      </c>
      <c r="D18" t="s">
        <v>20</v>
      </c>
      <c r="E18">
        <v>7</v>
      </c>
      <c r="F18">
        <v>396.94</v>
      </c>
      <c r="G18">
        <v>79.13</v>
      </c>
      <c r="H18">
        <f>YEAR(Table1[[#This Row],[Order Date]])</f>
        <v>2023</v>
      </c>
      <c r="I18" t="str">
        <f>TEXT(Table1[[#This Row],[Order Date]],"mmmm")</f>
        <v>May</v>
      </c>
      <c r="J18" s="3">
        <f>Table1[[#This Row],[Profit]]/Table1[[#This Row],[Sales Amount]]</f>
        <v>0.19935002771199675</v>
      </c>
    </row>
    <row r="19" spans="1:10" x14ac:dyDescent="0.35">
      <c r="A19" s="1">
        <v>45133</v>
      </c>
      <c r="B19" t="s">
        <v>7</v>
      </c>
      <c r="C19" t="s">
        <v>12</v>
      </c>
      <c r="D19" t="s">
        <v>16</v>
      </c>
      <c r="E19">
        <v>3</v>
      </c>
      <c r="F19">
        <v>64.14</v>
      </c>
      <c r="G19">
        <v>99.1</v>
      </c>
      <c r="H19">
        <f>YEAR(Table1[[#This Row],[Order Date]])</f>
        <v>2023</v>
      </c>
      <c r="I19" t="str">
        <f>TEXT(Table1[[#This Row],[Order Date]],"mmmm")</f>
        <v>July</v>
      </c>
      <c r="J19" s="3">
        <f>Table1[[#This Row],[Profit]]/Table1[[#This Row],[Sales Amount]]</f>
        <v>1.5450576863111942</v>
      </c>
    </row>
    <row r="20" spans="1:10" x14ac:dyDescent="0.35">
      <c r="A20" s="1">
        <v>45022</v>
      </c>
      <c r="B20" t="s">
        <v>9</v>
      </c>
      <c r="C20" t="s">
        <v>12</v>
      </c>
      <c r="D20" t="s">
        <v>16</v>
      </c>
      <c r="E20">
        <v>5</v>
      </c>
      <c r="F20">
        <v>162.18</v>
      </c>
      <c r="G20">
        <v>67.45</v>
      </c>
      <c r="H20">
        <f>YEAR(Table1[[#This Row],[Order Date]])</f>
        <v>2023</v>
      </c>
      <c r="I20" t="str">
        <f>TEXT(Table1[[#This Row],[Order Date]],"mmmm")</f>
        <v>April</v>
      </c>
      <c r="J20" s="3">
        <f>Table1[[#This Row],[Profit]]/Table1[[#This Row],[Sales Amount]]</f>
        <v>0.41589591811567395</v>
      </c>
    </row>
    <row r="21" spans="1:10" x14ac:dyDescent="0.35">
      <c r="A21" s="1">
        <v>44955</v>
      </c>
      <c r="B21" t="s">
        <v>9</v>
      </c>
      <c r="C21" t="s">
        <v>11</v>
      </c>
      <c r="D21" t="s">
        <v>22</v>
      </c>
      <c r="E21">
        <v>7</v>
      </c>
      <c r="F21">
        <v>180.39</v>
      </c>
      <c r="G21">
        <v>32.57</v>
      </c>
      <c r="H21">
        <f>YEAR(Table1[[#This Row],[Order Date]])</f>
        <v>2023</v>
      </c>
      <c r="I21" t="str">
        <f>TEXT(Table1[[#This Row],[Order Date]],"mmmm")</f>
        <v>January</v>
      </c>
      <c r="J21" s="3">
        <f>Table1[[#This Row],[Profit]]/Table1[[#This Row],[Sales Amount]]</f>
        <v>0.18055324574532958</v>
      </c>
    </row>
    <row r="22" spans="1:10" x14ac:dyDescent="0.35">
      <c r="A22" s="1">
        <v>45096</v>
      </c>
      <c r="B22" t="s">
        <v>8</v>
      </c>
      <c r="C22" t="s">
        <v>13</v>
      </c>
      <c r="D22" t="s">
        <v>18</v>
      </c>
      <c r="E22">
        <v>9</v>
      </c>
      <c r="F22">
        <v>97.47</v>
      </c>
      <c r="G22">
        <v>73.91</v>
      </c>
      <c r="H22">
        <f>YEAR(Table1[[#This Row],[Order Date]])</f>
        <v>2023</v>
      </c>
      <c r="I22" t="str">
        <f>TEXT(Table1[[#This Row],[Order Date]],"mmmm")</f>
        <v>June</v>
      </c>
      <c r="J22" s="3">
        <f>Table1[[#This Row],[Profit]]/Table1[[#This Row],[Sales Amount]]</f>
        <v>0.75828460038986356</v>
      </c>
    </row>
    <row r="23" spans="1:10" x14ac:dyDescent="0.35">
      <c r="A23" s="1">
        <v>45257</v>
      </c>
      <c r="B23" t="s">
        <v>9</v>
      </c>
      <c r="C23" t="s">
        <v>13</v>
      </c>
      <c r="D23" t="s">
        <v>18</v>
      </c>
      <c r="E23">
        <v>7</v>
      </c>
      <c r="F23">
        <v>453.24</v>
      </c>
      <c r="G23">
        <v>54.52</v>
      </c>
      <c r="H23">
        <f>YEAR(Table1[[#This Row],[Order Date]])</f>
        <v>2023</v>
      </c>
      <c r="I23" t="str">
        <f>TEXT(Table1[[#This Row],[Order Date]],"mmmm")</f>
        <v>November</v>
      </c>
      <c r="J23" s="3">
        <f>Table1[[#This Row],[Profit]]/Table1[[#This Row],[Sales Amount]]</f>
        <v>0.12028947136175096</v>
      </c>
    </row>
    <row r="24" spans="1:10" x14ac:dyDescent="0.35">
      <c r="A24" s="1">
        <v>45209</v>
      </c>
      <c r="B24" t="s">
        <v>10</v>
      </c>
      <c r="C24" t="s">
        <v>12</v>
      </c>
      <c r="D24" t="s">
        <v>21</v>
      </c>
      <c r="E24">
        <v>4</v>
      </c>
      <c r="F24">
        <v>208.66</v>
      </c>
      <c r="G24">
        <v>52.67</v>
      </c>
      <c r="H24">
        <f>YEAR(Table1[[#This Row],[Order Date]])</f>
        <v>2023</v>
      </c>
      <c r="I24" t="str">
        <f>TEXT(Table1[[#This Row],[Order Date]],"mmmm")</f>
        <v>October</v>
      </c>
      <c r="J24" s="3">
        <f>Table1[[#This Row],[Profit]]/Table1[[#This Row],[Sales Amount]]</f>
        <v>0.25242020511837437</v>
      </c>
    </row>
    <row r="25" spans="1:10" x14ac:dyDescent="0.35">
      <c r="A25" s="1">
        <v>45063</v>
      </c>
      <c r="B25" t="s">
        <v>10</v>
      </c>
      <c r="C25" t="s">
        <v>13</v>
      </c>
      <c r="D25" t="s">
        <v>20</v>
      </c>
      <c r="E25">
        <v>1</v>
      </c>
      <c r="F25">
        <v>103.94</v>
      </c>
      <c r="G25">
        <v>57.27</v>
      </c>
      <c r="H25">
        <f>YEAR(Table1[[#This Row],[Order Date]])</f>
        <v>2023</v>
      </c>
      <c r="I25" t="str">
        <f>TEXT(Table1[[#This Row],[Order Date]],"mmmm")</f>
        <v>May</v>
      </c>
      <c r="J25" s="3">
        <f>Table1[[#This Row],[Profit]]/Table1[[#This Row],[Sales Amount]]</f>
        <v>0.55099095632095441</v>
      </c>
    </row>
    <row r="26" spans="1:10" x14ac:dyDescent="0.35">
      <c r="A26" s="1">
        <v>45241</v>
      </c>
      <c r="B26" t="s">
        <v>10</v>
      </c>
      <c r="C26" t="s">
        <v>11</v>
      </c>
      <c r="D26" t="s">
        <v>22</v>
      </c>
      <c r="E26">
        <v>4</v>
      </c>
      <c r="F26">
        <v>213.63</v>
      </c>
      <c r="G26">
        <v>146.05000000000001</v>
      </c>
      <c r="H26">
        <f>YEAR(Table1[[#This Row],[Order Date]])</f>
        <v>2023</v>
      </c>
      <c r="I26" t="str">
        <f>TEXT(Table1[[#This Row],[Order Date]],"mmmm")</f>
        <v>November</v>
      </c>
      <c r="J26" s="3">
        <f>Table1[[#This Row],[Profit]]/Table1[[#This Row],[Sales Amount]]</f>
        <v>0.68365866217291582</v>
      </c>
    </row>
    <row r="27" spans="1:10" x14ac:dyDescent="0.35">
      <c r="A27" s="1">
        <v>45221</v>
      </c>
      <c r="B27" t="s">
        <v>10</v>
      </c>
      <c r="C27" t="s">
        <v>13</v>
      </c>
      <c r="D27" t="s">
        <v>19</v>
      </c>
      <c r="E27">
        <v>1</v>
      </c>
      <c r="F27">
        <v>116.64</v>
      </c>
      <c r="G27">
        <v>149.68</v>
      </c>
      <c r="H27">
        <f>YEAR(Table1[[#This Row],[Order Date]])</f>
        <v>2023</v>
      </c>
      <c r="I27" t="str">
        <f>TEXT(Table1[[#This Row],[Order Date]],"mmmm")</f>
        <v>October</v>
      </c>
      <c r="J27" s="3">
        <f>Table1[[#This Row],[Profit]]/Table1[[#This Row],[Sales Amount]]</f>
        <v>1.2832647462277091</v>
      </c>
    </row>
    <row r="28" spans="1:10" x14ac:dyDescent="0.35">
      <c r="A28" s="1">
        <v>45039</v>
      </c>
      <c r="B28" t="s">
        <v>10</v>
      </c>
      <c r="C28" t="s">
        <v>11</v>
      </c>
      <c r="D28" t="s">
        <v>15</v>
      </c>
      <c r="E28">
        <v>6</v>
      </c>
      <c r="F28">
        <v>64.87</v>
      </c>
      <c r="G28">
        <v>58.31</v>
      </c>
      <c r="H28">
        <f>YEAR(Table1[[#This Row],[Order Date]])</f>
        <v>2023</v>
      </c>
      <c r="I28" t="str">
        <f>TEXT(Table1[[#This Row],[Order Date]],"mmmm")</f>
        <v>April</v>
      </c>
      <c r="J28" s="3">
        <f>Table1[[#This Row],[Profit]]/Table1[[#This Row],[Sales Amount]]</f>
        <v>0.89887467242176655</v>
      </c>
    </row>
    <row r="29" spans="1:10" x14ac:dyDescent="0.35">
      <c r="A29" s="1">
        <v>45052</v>
      </c>
      <c r="B29" t="s">
        <v>10</v>
      </c>
      <c r="C29" t="s">
        <v>12</v>
      </c>
      <c r="D29" t="s">
        <v>21</v>
      </c>
      <c r="E29">
        <v>6</v>
      </c>
      <c r="F29">
        <v>158.91999999999999</v>
      </c>
      <c r="G29">
        <v>104.1</v>
      </c>
      <c r="H29">
        <f>YEAR(Table1[[#This Row],[Order Date]])</f>
        <v>2023</v>
      </c>
      <c r="I29" t="str">
        <f>TEXT(Table1[[#This Row],[Order Date]],"mmmm")</f>
        <v>May</v>
      </c>
      <c r="J29" s="3">
        <f>Table1[[#This Row],[Profit]]/Table1[[#This Row],[Sales Amount]]</f>
        <v>0.65504656430908637</v>
      </c>
    </row>
    <row r="30" spans="1:10" x14ac:dyDescent="0.35">
      <c r="A30" s="1">
        <v>45110</v>
      </c>
      <c r="B30" t="s">
        <v>7</v>
      </c>
      <c r="C30" t="s">
        <v>11</v>
      </c>
      <c r="D30" t="s">
        <v>22</v>
      </c>
      <c r="E30">
        <v>6</v>
      </c>
      <c r="F30">
        <v>215.5</v>
      </c>
      <c r="G30">
        <v>98.52</v>
      </c>
      <c r="H30">
        <f>YEAR(Table1[[#This Row],[Order Date]])</f>
        <v>2023</v>
      </c>
      <c r="I30" t="str">
        <f>TEXT(Table1[[#This Row],[Order Date]],"mmmm")</f>
        <v>July</v>
      </c>
      <c r="J30" s="3">
        <f>Table1[[#This Row],[Profit]]/Table1[[#This Row],[Sales Amount]]</f>
        <v>0.45716937354988396</v>
      </c>
    </row>
    <row r="31" spans="1:10" x14ac:dyDescent="0.35">
      <c r="A31" s="1">
        <v>45166</v>
      </c>
      <c r="B31" t="s">
        <v>9</v>
      </c>
      <c r="C31" t="s">
        <v>13</v>
      </c>
      <c r="D31" t="s">
        <v>20</v>
      </c>
      <c r="E31">
        <v>9</v>
      </c>
      <c r="F31">
        <v>194.35</v>
      </c>
      <c r="G31">
        <v>36.11</v>
      </c>
      <c r="H31">
        <f>YEAR(Table1[[#This Row],[Order Date]])</f>
        <v>2023</v>
      </c>
      <c r="I31" t="str">
        <f>TEXT(Table1[[#This Row],[Order Date]],"mmmm")</f>
        <v>August</v>
      </c>
      <c r="J31" s="3">
        <f>Table1[[#This Row],[Profit]]/Table1[[#This Row],[Sales Amount]]</f>
        <v>0.18579881656804734</v>
      </c>
    </row>
    <row r="32" spans="1:10" x14ac:dyDescent="0.35">
      <c r="A32" s="1">
        <v>45185</v>
      </c>
      <c r="B32" t="s">
        <v>9</v>
      </c>
      <c r="C32" t="s">
        <v>12</v>
      </c>
      <c r="D32" t="s">
        <v>17</v>
      </c>
      <c r="E32">
        <v>4</v>
      </c>
      <c r="F32">
        <v>57.46</v>
      </c>
      <c r="G32">
        <v>81.69</v>
      </c>
      <c r="H32">
        <f>YEAR(Table1[[#This Row],[Order Date]])</f>
        <v>2023</v>
      </c>
      <c r="I32" t="str">
        <f>TEXT(Table1[[#This Row],[Order Date]],"mmmm")</f>
        <v>September</v>
      </c>
      <c r="J32" s="3">
        <f>Table1[[#This Row],[Profit]]/Table1[[#This Row],[Sales Amount]]</f>
        <v>1.4216846501914375</v>
      </c>
    </row>
    <row r="33" spans="1:10" x14ac:dyDescent="0.35">
      <c r="A33" s="1">
        <v>45074</v>
      </c>
      <c r="B33" t="s">
        <v>9</v>
      </c>
      <c r="C33" t="s">
        <v>11</v>
      </c>
      <c r="D33" t="s">
        <v>14</v>
      </c>
      <c r="E33">
        <v>4</v>
      </c>
      <c r="F33">
        <v>473.24</v>
      </c>
      <c r="G33">
        <v>65.66</v>
      </c>
      <c r="H33">
        <f>YEAR(Table1[[#This Row],[Order Date]])</f>
        <v>2023</v>
      </c>
      <c r="I33" t="str">
        <f>TEXT(Table1[[#This Row],[Order Date]],"mmmm")</f>
        <v>May</v>
      </c>
      <c r="J33" s="3">
        <f>Table1[[#This Row],[Profit]]/Table1[[#This Row],[Sales Amount]]</f>
        <v>0.13874566815991884</v>
      </c>
    </row>
    <row r="34" spans="1:10" x14ac:dyDescent="0.35">
      <c r="A34" s="1">
        <v>45264</v>
      </c>
      <c r="B34" t="s">
        <v>9</v>
      </c>
      <c r="C34" t="s">
        <v>11</v>
      </c>
      <c r="D34" t="s">
        <v>22</v>
      </c>
      <c r="E34">
        <v>9</v>
      </c>
      <c r="F34">
        <v>101.06</v>
      </c>
      <c r="G34">
        <v>139.46</v>
      </c>
      <c r="H34">
        <f>YEAR(Table1[[#This Row],[Order Date]])</f>
        <v>2023</v>
      </c>
      <c r="I34" t="str">
        <f>TEXT(Table1[[#This Row],[Order Date]],"mmmm")</f>
        <v>December</v>
      </c>
      <c r="J34" s="3">
        <f>Table1[[#This Row],[Profit]]/Table1[[#This Row],[Sales Amount]]</f>
        <v>1.3799722936869188</v>
      </c>
    </row>
    <row r="35" spans="1:10" x14ac:dyDescent="0.35">
      <c r="A35" s="1">
        <v>45224</v>
      </c>
      <c r="B35" t="s">
        <v>7</v>
      </c>
      <c r="C35" t="s">
        <v>13</v>
      </c>
      <c r="D35" t="s">
        <v>19</v>
      </c>
      <c r="E35">
        <v>9</v>
      </c>
      <c r="F35">
        <v>282.49</v>
      </c>
      <c r="G35">
        <v>46.52</v>
      </c>
      <c r="H35">
        <f>YEAR(Table1[[#This Row],[Order Date]])</f>
        <v>2023</v>
      </c>
      <c r="I35" t="str">
        <f>TEXT(Table1[[#This Row],[Order Date]],"mmmm")</f>
        <v>October</v>
      </c>
      <c r="J35" s="3">
        <f>Table1[[#This Row],[Profit]]/Table1[[#This Row],[Sales Amount]]</f>
        <v>0.16467839569542286</v>
      </c>
    </row>
    <row r="36" spans="1:10" x14ac:dyDescent="0.35">
      <c r="A36" s="1">
        <v>45230</v>
      </c>
      <c r="B36" t="s">
        <v>10</v>
      </c>
      <c r="C36" t="s">
        <v>12</v>
      </c>
      <c r="D36" t="s">
        <v>21</v>
      </c>
      <c r="E36">
        <v>5</v>
      </c>
      <c r="F36">
        <v>447.19</v>
      </c>
      <c r="G36">
        <v>36.42</v>
      </c>
      <c r="H36">
        <f>YEAR(Table1[[#This Row],[Order Date]])</f>
        <v>2023</v>
      </c>
      <c r="I36" t="str">
        <f>TEXT(Table1[[#This Row],[Order Date]],"mmmm")</f>
        <v>October</v>
      </c>
      <c r="J36" s="3">
        <f>Table1[[#This Row],[Profit]]/Table1[[#This Row],[Sales Amount]]</f>
        <v>8.1441892707797586E-2</v>
      </c>
    </row>
    <row r="37" spans="1:10" x14ac:dyDescent="0.35">
      <c r="A37" s="1">
        <v>45025</v>
      </c>
      <c r="B37" t="s">
        <v>7</v>
      </c>
      <c r="C37" t="s">
        <v>12</v>
      </c>
      <c r="D37" t="s">
        <v>17</v>
      </c>
      <c r="E37">
        <v>4</v>
      </c>
      <c r="F37">
        <v>449.19</v>
      </c>
      <c r="G37">
        <v>119.18</v>
      </c>
      <c r="H37">
        <f>YEAR(Table1[[#This Row],[Order Date]])</f>
        <v>2023</v>
      </c>
      <c r="I37" t="str">
        <f>TEXT(Table1[[#This Row],[Order Date]],"mmmm")</f>
        <v>April</v>
      </c>
      <c r="J37" s="3">
        <f>Table1[[#This Row],[Profit]]/Table1[[#This Row],[Sales Amount]]</f>
        <v>0.26532202408780253</v>
      </c>
    </row>
    <row r="38" spans="1:10" x14ac:dyDescent="0.35">
      <c r="A38" s="1">
        <v>45039</v>
      </c>
      <c r="B38" t="s">
        <v>9</v>
      </c>
      <c r="C38" t="s">
        <v>11</v>
      </c>
      <c r="D38" t="s">
        <v>15</v>
      </c>
      <c r="E38">
        <v>8</v>
      </c>
      <c r="F38">
        <v>322.89</v>
      </c>
      <c r="G38">
        <v>11.29</v>
      </c>
      <c r="H38">
        <f>YEAR(Table1[[#This Row],[Order Date]])</f>
        <v>2023</v>
      </c>
      <c r="I38" t="str">
        <f>TEXT(Table1[[#This Row],[Order Date]],"mmmm")</f>
        <v>April</v>
      </c>
      <c r="J38" s="3">
        <f>Table1[[#This Row],[Profit]]/Table1[[#This Row],[Sales Amount]]</f>
        <v>3.4965468116076683E-2</v>
      </c>
    </row>
    <row r="39" spans="1:10" x14ac:dyDescent="0.35">
      <c r="A39" s="1">
        <v>45025</v>
      </c>
      <c r="B39" t="s">
        <v>8</v>
      </c>
      <c r="C39" t="s">
        <v>13</v>
      </c>
      <c r="D39" t="s">
        <v>20</v>
      </c>
      <c r="E39">
        <v>2</v>
      </c>
      <c r="F39">
        <v>122.36</v>
      </c>
      <c r="G39">
        <v>86.82</v>
      </c>
      <c r="H39">
        <f>YEAR(Table1[[#This Row],[Order Date]])</f>
        <v>2023</v>
      </c>
      <c r="I39" t="str">
        <f>TEXT(Table1[[#This Row],[Order Date]],"mmmm")</f>
        <v>April</v>
      </c>
      <c r="J39" s="3">
        <f>Table1[[#This Row],[Profit]]/Table1[[#This Row],[Sales Amount]]</f>
        <v>0.70954560313828041</v>
      </c>
    </row>
    <row r="40" spans="1:10" x14ac:dyDescent="0.35">
      <c r="A40" s="1">
        <v>45089</v>
      </c>
      <c r="B40" t="s">
        <v>9</v>
      </c>
      <c r="C40" t="s">
        <v>13</v>
      </c>
      <c r="D40" t="s">
        <v>20</v>
      </c>
      <c r="E40">
        <v>9</v>
      </c>
      <c r="F40">
        <v>129.16999999999999</v>
      </c>
      <c r="G40">
        <v>12.53</v>
      </c>
      <c r="H40">
        <f>YEAR(Table1[[#This Row],[Order Date]])</f>
        <v>2023</v>
      </c>
      <c r="I40" t="str">
        <f>TEXT(Table1[[#This Row],[Order Date]],"mmmm")</f>
        <v>June</v>
      </c>
      <c r="J40" s="3">
        <f>Table1[[#This Row],[Profit]]/Table1[[#This Row],[Sales Amount]]</f>
        <v>9.7003948285205546E-2</v>
      </c>
    </row>
    <row r="41" spans="1:10" x14ac:dyDescent="0.35">
      <c r="A41" s="1">
        <v>45203</v>
      </c>
      <c r="B41" t="s">
        <v>9</v>
      </c>
      <c r="C41" t="s">
        <v>13</v>
      </c>
      <c r="D41" t="s">
        <v>19</v>
      </c>
      <c r="E41">
        <v>3</v>
      </c>
      <c r="F41">
        <v>345.93</v>
      </c>
      <c r="G41">
        <v>89.56</v>
      </c>
      <c r="H41">
        <f>YEAR(Table1[[#This Row],[Order Date]])</f>
        <v>2023</v>
      </c>
      <c r="I41" t="str">
        <f>TEXT(Table1[[#This Row],[Order Date]],"mmmm")</f>
        <v>October</v>
      </c>
      <c r="J41" s="3">
        <f>Table1[[#This Row],[Profit]]/Table1[[#This Row],[Sales Amount]]</f>
        <v>0.25889630850172002</v>
      </c>
    </row>
    <row r="42" spans="1:10" x14ac:dyDescent="0.35">
      <c r="A42" s="1">
        <v>44948</v>
      </c>
      <c r="B42" t="s">
        <v>10</v>
      </c>
      <c r="C42" t="s">
        <v>11</v>
      </c>
      <c r="D42" t="s">
        <v>15</v>
      </c>
      <c r="E42">
        <v>6</v>
      </c>
      <c r="F42">
        <v>490.5</v>
      </c>
      <c r="G42">
        <v>78.14</v>
      </c>
      <c r="H42">
        <f>YEAR(Table1[[#This Row],[Order Date]])</f>
        <v>2023</v>
      </c>
      <c r="I42" t="str">
        <f>TEXT(Table1[[#This Row],[Order Date]],"mmmm")</f>
        <v>January</v>
      </c>
      <c r="J42" s="3">
        <f>Table1[[#This Row],[Profit]]/Table1[[#This Row],[Sales Amount]]</f>
        <v>0.15930682976554536</v>
      </c>
    </row>
    <row r="43" spans="1:10" x14ac:dyDescent="0.35">
      <c r="A43" s="1">
        <v>44953</v>
      </c>
      <c r="B43" t="s">
        <v>10</v>
      </c>
      <c r="C43" t="s">
        <v>11</v>
      </c>
      <c r="D43" t="s">
        <v>22</v>
      </c>
      <c r="E43">
        <v>1</v>
      </c>
      <c r="F43">
        <v>309.61</v>
      </c>
      <c r="G43">
        <v>78.95</v>
      </c>
      <c r="H43">
        <f>YEAR(Table1[[#This Row],[Order Date]])</f>
        <v>2023</v>
      </c>
      <c r="I43" t="str">
        <f>TEXT(Table1[[#This Row],[Order Date]],"mmmm")</f>
        <v>January</v>
      </c>
      <c r="J43" s="3">
        <f>Table1[[#This Row],[Profit]]/Table1[[#This Row],[Sales Amount]]</f>
        <v>0.25499822357159008</v>
      </c>
    </row>
    <row r="44" spans="1:10" x14ac:dyDescent="0.35">
      <c r="A44" s="1">
        <v>45243</v>
      </c>
      <c r="B44" t="s">
        <v>9</v>
      </c>
      <c r="C44" t="s">
        <v>12</v>
      </c>
      <c r="D44" t="s">
        <v>17</v>
      </c>
      <c r="E44">
        <v>4</v>
      </c>
      <c r="F44">
        <v>60.94</v>
      </c>
      <c r="G44">
        <v>100.37</v>
      </c>
      <c r="H44">
        <f>YEAR(Table1[[#This Row],[Order Date]])</f>
        <v>2023</v>
      </c>
      <c r="I44" t="str">
        <f>TEXT(Table1[[#This Row],[Order Date]],"mmmm")</f>
        <v>November</v>
      </c>
      <c r="J44" s="3">
        <f>Table1[[#This Row],[Profit]]/Table1[[#This Row],[Sales Amount]]</f>
        <v>1.6470298654414179</v>
      </c>
    </row>
    <row r="45" spans="1:10" x14ac:dyDescent="0.35">
      <c r="A45" s="1">
        <v>45098</v>
      </c>
      <c r="B45" t="s">
        <v>9</v>
      </c>
      <c r="C45" t="s">
        <v>12</v>
      </c>
      <c r="D45" t="s">
        <v>16</v>
      </c>
      <c r="E45">
        <v>5</v>
      </c>
      <c r="F45">
        <v>447.57</v>
      </c>
      <c r="G45">
        <v>114.68</v>
      </c>
      <c r="H45">
        <f>YEAR(Table1[[#This Row],[Order Date]])</f>
        <v>2023</v>
      </c>
      <c r="I45" t="str">
        <f>TEXT(Table1[[#This Row],[Order Date]],"mmmm")</f>
        <v>June</v>
      </c>
      <c r="J45" s="3">
        <f>Table1[[#This Row],[Profit]]/Table1[[#This Row],[Sales Amount]]</f>
        <v>0.25622807605514225</v>
      </c>
    </row>
    <row r="46" spans="1:10" x14ac:dyDescent="0.35">
      <c r="A46" s="1">
        <v>45206</v>
      </c>
      <c r="B46" t="s">
        <v>8</v>
      </c>
      <c r="C46" t="s">
        <v>12</v>
      </c>
      <c r="D46" t="s">
        <v>21</v>
      </c>
      <c r="E46">
        <v>5</v>
      </c>
      <c r="F46">
        <v>307.52999999999997</v>
      </c>
      <c r="G46">
        <v>147.25</v>
      </c>
      <c r="H46">
        <f>YEAR(Table1[[#This Row],[Order Date]])</f>
        <v>2023</v>
      </c>
      <c r="I46" t="str">
        <f>TEXT(Table1[[#This Row],[Order Date]],"mmmm")</f>
        <v>October</v>
      </c>
      <c r="J46" s="3">
        <f>Table1[[#This Row],[Profit]]/Table1[[#This Row],[Sales Amount]]</f>
        <v>0.47881507495203723</v>
      </c>
    </row>
    <row r="47" spans="1:10" x14ac:dyDescent="0.35">
      <c r="A47" s="1">
        <v>45179</v>
      </c>
      <c r="B47" t="s">
        <v>8</v>
      </c>
      <c r="C47" t="s">
        <v>11</v>
      </c>
      <c r="D47" t="s">
        <v>14</v>
      </c>
      <c r="E47">
        <v>1</v>
      </c>
      <c r="F47">
        <v>192.61</v>
      </c>
      <c r="G47">
        <v>33.729999999999997</v>
      </c>
      <c r="H47">
        <f>YEAR(Table1[[#This Row],[Order Date]])</f>
        <v>2023</v>
      </c>
      <c r="I47" t="str">
        <f>TEXT(Table1[[#This Row],[Order Date]],"mmmm")</f>
        <v>September</v>
      </c>
      <c r="J47" s="3">
        <f>Table1[[#This Row],[Profit]]/Table1[[#This Row],[Sales Amount]]</f>
        <v>0.17512071024349721</v>
      </c>
    </row>
    <row r="48" spans="1:10" x14ac:dyDescent="0.35">
      <c r="A48" s="1">
        <v>45149</v>
      </c>
      <c r="B48" t="s">
        <v>10</v>
      </c>
      <c r="C48" t="s">
        <v>12</v>
      </c>
      <c r="D48" t="s">
        <v>16</v>
      </c>
      <c r="E48">
        <v>3</v>
      </c>
      <c r="F48">
        <v>306.52999999999997</v>
      </c>
      <c r="G48">
        <v>23.6</v>
      </c>
      <c r="H48">
        <f>YEAR(Table1[[#This Row],[Order Date]])</f>
        <v>2023</v>
      </c>
      <c r="I48" t="str">
        <f>TEXT(Table1[[#This Row],[Order Date]],"mmmm")</f>
        <v>August</v>
      </c>
      <c r="J48" s="3">
        <f>Table1[[#This Row],[Profit]]/Table1[[#This Row],[Sales Amount]]</f>
        <v>7.6990832871170853E-2</v>
      </c>
    </row>
    <row r="49" spans="1:10" x14ac:dyDescent="0.35">
      <c r="A49" s="1">
        <v>45268</v>
      </c>
      <c r="B49" t="s">
        <v>7</v>
      </c>
      <c r="C49" t="s">
        <v>11</v>
      </c>
      <c r="D49" t="s">
        <v>15</v>
      </c>
      <c r="E49">
        <v>2</v>
      </c>
      <c r="F49">
        <v>195.15</v>
      </c>
      <c r="G49">
        <v>128.81</v>
      </c>
      <c r="H49">
        <f>YEAR(Table1[[#This Row],[Order Date]])</f>
        <v>2023</v>
      </c>
      <c r="I49" t="str">
        <f>TEXT(Table1[[#This Row],[Order Date]],"mmmm")</f>
        <v>December</v>
      </c>
      <c r="J49" s="3">
        <f>Table1[[#This Row],[Profit]]/Table1[[#This Row],[Sales Amount]]</f>
        <v>0.66005636689725855</v>
      </c>
    </row>
    <row r="50" spans="1:10" x14ac:dyDescent="0.35">
      <c r="A50" s="1">
        <v>45225</v>
      </c>
      <c r="B50" t="s">
        <v>10</v>
      </c>
      <c r="C50" t="s">
        <v>12</v>
      </c>
      <c r="D50" t="s">
        <v>17</v>
      </c>
      <c r="E50">
        <v>7</v>
      </c>
      <c r="F50">
        <v>238.9</v>
      </c>
      <c r="G50">
        <v>45.87</v>
      </c>
      <c r="H50">
        <f>YEAR(Table1[[#This Row],[Order Date]])</f>
        <v>2023</v>
      </c>
      <c r="I50" t="str">
        <f>TEXT(Table1[[#This Row],[Order Date]],"mmmm")</f>
        <v>October</v>
      </c>
      <c r="J50" s="3">
        <f>Table1[[#This Row],[Profit]]/Table1[[#This Row],[Sales Amount]]</f>
        <v>0.192005023022185</v>
      </c>
    </row>
    <row r="51" spans="1:10" x14ac:dyDescent="0.35">
      <c r="A51" s="1">
        <v>45242</v>
      </c>
      <c r="B51" t="s">
        <v>10</v>
      </c>
      <c r="C51" t="s">
        <v>12</v>
      </c>
      <c r="D51" t="s">
        <v>17</v>
      </c>
      <c r="E51">
        <v>9</v>
      </c>
      <c r="F51">
        <v>332.55</v>
      </c>
      <c r="G51">
        <v>37.200000000000003</v>
      </c>
      <c r="H51">
        <f>YEAR(Table1[[#This Row],[Order Date]])</f>
        <v>2023</v>
      </c>
      <c r="I51" t="str">
        <f>TEXT(Table1[[#This Row],[Order Date]],"mmmm")</f>
        <v>November</v>
      </c>
      <c r="J51" s="3">
        <f>Table1[[#This Row],[Profit]]/Table1[[#This Row],[Sales Amount]]</f>
        <v>0.11186287776274245</v>
      </c>
    </row>
    <row r="52" spans="1:10" x14ac:dyDescent="0.35">
      <c r="A52" s="1">
        <v>45068</v>
      </c>
      <c r="B52" t="s">
        <v>9</v>
      </c>
      <c r="C52" t="s">
        <v>13</v>
      </c>
      <c r="D52" t="s">
        <v>19</v>
      </c>
      <c r="E52">
        <v>7</v>
      </c>
      <c r="F52">
        <v>62.43</v>
      </c>
      <c r="G52">
        <v>91.04</v>
      </c>
      <c r="H52">
        <f>YEAR(Table1[[#This Row],[Order Date]])</f>
        <v>2023</v>
      </c>
      <c r="I52" t="str">
        <f>TEXT(Table1[[#This Row],[Order Date]],"mmmm")</f>
        <v>May</v>
      </c>
      <c r="J52" s="3">
        <f>Table1[[#This Row],[Profit]]/Table1[[#This Row],[Sales Amount]]</f>
        <v>1.4582732660579851</v>
      </c>
    </row>
    <row r="53" spans="1:10" x14ac:dyDescent="0.35">
      <c r="A53" s="1">
        <v>45268</v>
      </c>
      <c r="B53" t="s">
        <v>7</v>
      </c>
      <c r="C53" t="s">
        <v>11</v>
      </c>
      <c r="D53" t="s">
        <v>22</v>
      </c>
      <c r="E53">
        <v>6</v>
      </c>
      <c r="F53">
        <v>315.87</v>
      </c>
      <c r="G53">
        <v>14.27</v>
      </c>
      <c r="H53">
        <f>YEAR(Table1[[#This Row],[Order Date]])</f>
        <v>2023</v>
      </c>
      <c r="I53" t="str">
        <f>TEXT(Table1[[#This Row],[Order Date]],"mmmm")</f>
        <v>December</v>
      </c>
      <c r="J53" s="3">
        <f>Table1[[#This Row],[Profit]]/Table1[[#This Row],[Sales Amount]]</f>
        <v>4.5176813245955613E-2</v>
      </c>
    </row>
    <row r="54" spans="1:10" x14ac:dyDescent="0.35">
      <c r="A54" s="1">
        <v>45252</v>
      </c>
      <c r="B54" t="s">
        <v>7</v>
      </c>
      <c r="C54" t="s">
        <v>13</v>
      </c>
      <c r="D54" t="s">
        <v>18</v>
      </c>
      <c r="E54">
        <v>5</v>
      </c>
      <c r="F54">
        <v>285.01</v>
      </c>
      <c r="G54">
        <v>117.8</v>
      </c>
      <c r="H54">
        <f>YEAR(Table1[[#This Row],[Order Date]])</f>
        <v>2023</v>
      </c>
      <c r="I54" t="str">
        <f>TEXT(Table1[[#This Row],[Order Date]],"mmmm")</f>
        <v>November</v>
      </c>
      <c r="J54" s="3">
        <f>Table1[[#This Row],[Profit]]/Table1[[#This Row],[Sales Amount]]</f>
        <v>0.41331883091821342</v>
      </c>
    </row>
    <row r="55" spans="1:10" x14ac:dyDescent="0.35">
      <c r="A55" s="1">
        <v>45029</v>
      </c>
      <c r="B55" t="s">
        <v>9</v>
      </c>
      <c r="C55" t="s">
        <v>12</v>
      </c>
      <c r="D55" t="s">
        <v>16</v>
      </c>
      <c r="E55">
        <v>4</v>
      </c>
      <c r="F55">
        <v>235.11</v>
      </c>
      <c r="G55">
        <v>107.93</v>
      </c>
      <c r="H55">
        <f>YEAR(Table1[[#This Row],[Order Date]])</f>
        <v>2023</v>
      </c>
      <c r="I55" t="str">
        <f>TEXT(Table1[[#This Row],[Order Date]],"mmmm")</f>
        <v>April</v>
      </c>
      <c r="J55" s="3">
        <f>Table1[[#This Row],[Profit]]/Table1[[#This Row],[Sales Amount]]</f>
        <v>0.45906171579260774</v>
      </c>
    </row>
    <row r="56" spans="1:10" x14ac:dyDescent="0.35">
      <c r="A56" s="1">
        <v>45050</v>
      </c>
      <c r="B56" t="s">
        <v>10</v>
      </c>
      <c r="C56" t="s">
        <v>12</v>
      </c>
      <c r="D56" t="s">
        <v>16</v>
      </c>
      <c r="E56">
        <v>3</v>
      </c>
      <c r="F56">
        <v>407.83</v>
      </c>
      <c r="G56">
        <v>47.92</v>
      </c>
      <c r="H56">
        <f>YEAR(Table1[[#This Row],[Order Date]])</f>
        <v>2023</v>
      </c>
      <c r="I56" t="str">
        <f>TEXT(Table1[[#This Row],[Order Date]],"mmmm")</f>
        <v>May</v>
      </c>
      <c r="J56" s="3">
        <f>Table1[[#This Row],[Profit]]/Table1[[#This Row],[Sales Amount]]</f>
        <v>0.11749993869994851</v>
      </c>
    </row>
    <row r="57" spans="1:10" x14ac:dyDescent="0.35">
      <c r="A57" s="1">
        <v>45272</v>
      </c>
      <c r="B57" t="s">
        <v>8</v>
      </c>
      <c r="C57" t="s">
        <v>13</v>
      </c>
      <c r="D57" t="s">
        <v>18</v>
      </c>
      <c r="E57">
        <v>5</v>
      </c>
      <c r="F57">
        <v>86.39</v>
      </c>
      <c r="G57">
        <v>69.959999999999994</v>
      </c>
      <c r="H57">
        <f>YEAR(Table1[[#This Row],[Order Date]])</f>
        <v>2023</v>
      </c>
      <c r="I57" t="str">
        <f>TEXT(Table1[[#This Row],[Order Date]],"mmmm")</f>
        <v>December</v>
      </c>
      <c r="J57" s="3">
        <f>Table1[[#This Row],[Profit]]/Table1[[#This Row],[Sales Amount]]</f>
        <v>0.80981595092024528</v>
      </c>
    </row>
    <row r="58" spans="1:10" x14ac:dyDescent="0.35">
      <c r="A58" s="1">
        <v>45055</v>
      </c>
      <c r="B58" t="s">
        <v>10</v>
      </c>
      <c r="C58" t="s">
        <v>12</v>
      </c>
      <c r="D58" t="s">
        <v>16</v>
      </c>
      <c r="E58">
        <v>1</v>
      </c>
      <c r="F58">
        <v>249.06</v>
      </c>
      <c r="G58">
        <v>43.57</v>
      </c>
      <c r="H58">
        <f>YEAR(Table1[[#This Row],[Order Date]])</f>
        <v>2023</v>
      </c>
      <c r="I58" t="str">
        <f>TEXT(Table1[[#This Row],[Order Date]],"mmmm")</f>
        <v>May</v>
      </c>
      <c r="J58" s="3">
        <f>Table1[[#This Row],[Profit]]/Table1[[#This Row],[Sales Amount]]</f>
        <v>0.17493776600016062</v>
      </c>
    </row>
    <row r="59" spans="1:10" x14ac:dyDescent="0.35">
      <c r="A59" s="1">
        <v>44974</v>
      </c>
      <c r="B59" t="s">
        <v>8</v>
      </c>
      <c r="C59" t="s">
        <v>13</v>
      </c>
      <c r="D59" t="s">
        <v>20</v>
      </c>
      <c r="E59">
        <v>5</v>
      </c>
      <c r="F59">
        <v>337.22</v>
      </c>
      <c r="G59">
        <v>82.34</v>
      </c>
      <c r="H59">
        <f>YEAR(Table1[[#This Row],[Order Date]])</f>
        <v>2023</v>
      </c>
      <c r="I59" t="str">
        <f>TEXT(Table1[[#This Row],[Order Date]],"mmmm")</f>
        <v>February</v>
      </c>
      <c r="J59" s="3">
        <f>Table1[[#This Row],[Profit]]/Table1[[#This Row],[Sales Amount]]</f>
        <v>0.24417294347903445</v>
      </c>
    </row>
    <row r="60" spans="1:10" x14ac:dyDescent="0.35">
      <c r="A60" s="1">
        <v>44995</v>
      </c>
      <c r="B60" t="s">
        <v>10</v>
      </c>
      <c r="C60" t="s">
        <v>11</v>
      </c>
      <c r="D60" t="s">
        <v>22</v>
      </c>
      <c r="E60">
        <v>7</v>
      </c>
      <c r="F60">
        <v>71.47</v>
      </c>
      <c r="G60">
        <v>89.25</v>
      </c>
      <c r="H60">
        <f>YEAR(Table1[[#This Row],[Order Date]])</f>
        <v>2023</v>
      </c>
      <c r="I60" t="str">
        <f>TEXT(Table1[[#This Row],[Order Date]],"mmmm")</f>
        <v>March</v>
      </c>
      <c r="J60" s="3">
        <f>Table1[[#This Row],[Profit]]/Table1[[#This Row],[Sales Amount]]</f>
        <v>1.2487757100881489</v>
      </c>
    </row>
    <row r="61" spans="1:10" x14ac:dyDescent="0.35">
      <c r="A61" s="1">
        <v>45012</v>
      </c>
      <c r="B61" t="s">
        <v>8</v>
      </c>
      <c r="C61" t="s">
        <v>11</v>
      </c>
      <c r="D61" t="s">
        <v>22</v>
      </c>
      <c r="E61">
        <v>5</v>
      </c>
      <c r="F61">
        <v>92.37</v>
      </c>
      <c r="G61">
        <v>53.6</v>
      </c>
      <c r="H61">
        <f>YEAR(Table1[[#This Row],[Order Date]])</f>
        <v>2023</v>
      </c>
      <c r="I61" t="str">
        <f>TEXT(Table1[[#This Row],[Order Date]],"mmmm")</f>
        <v>March</v>
      </c>
      <c r="J61" s="3">
        <f>Table1[[#This Row],[Profit]]/Table1[[#This Row],[Sales Amount]]</f>
        <v>0.58027498105445485</v>
      </c>
    </row>
    <row r="62" spans="1:10" x14ac:dyDescent="0.35">
      <c r="A62" s="1">
        <v>45130</v>
      </c>
      <c r="B62" t="s">
        <v>9</v>
      </c>
      <c r="C62" t="s">
        <v>13</v>
      </c>
      <c r="D62" t="s">
        <v>18</v>
      </c>
      <c r="E62">
        <v>5</v>
      </c>
      <c r="F62">
        <v>263.06</v>
      </c>
      <c r="G62">
        <v>34.25</v>
      </c>
      <c r="H62">
        <f>YEAR(Table1[[#This Row],[Order Date]])</f>
        <v>2023</v>
      </c>
      <c r="I62" t="str">
        <f>TEXT(Table1[[#This Row],[Order Date]],"mmmm")</f>
        <v>July</v>
      </c>
      <c r="J62" s="3">
        <f>Table1[[#This Row],[Profit]]/Table1[[#This Row],[Sales Amount]]</f>
        <v>0.13019843381738005</v>
      </c>
    </row>
    <row r="63" spans="1:10" x14ac:dyDescent="0.35">
      <c r="A63" s="1">
        <v>45283</v>
      </c>
      <c r="B63" t="s">
        <v>7</v>
      </c>
      <c r="C63" t="s">
        <v>13</v>
      </c>
      <c r="D63" t="s">
        <v>18</v>
      </c>
      <c r="E63">
        <v>6</v>
      </c>
      <c r="F63">
        <v>335.79</v>
      </c>
      <c r="G63">
        <v>16.34</v>
      </c>
      <c r="H63">
        <f>YEAR(Table1[[#This Row],[Order Date]])</f>
        <v>2023</v>
      </c>
      <c r="I63" t="str">
        <f>TEXT(Table1[[#This Row],[Order Date]],"mmmm")</f>
        <v>December</v>
      </c>
      <c r="J63" s="3">
        <f>Table1[[#This Row],[Profit]]/Table1[[#This Row],[Sales Amount]]</f>
        <v>4.8661365734536464E-2</v>
      </c>
    </row>
    <row r="64" spans="1:10" x14ac:dyDescent="0.35">
      <c r="A64" s="1">
        <v>45176</v>
      </c>
      <c r="B64" t="s">
        <v>7</v>
      </c>
      <c r="C64" t="s">
        <v>11</v>
      </c>
      <c r="D64" t="s">
        <v>15</v>
      </c>
      <c r="E64">
        <v>1</v>
      </c>
      <c r="F64">
        <v>292.72000000000003</v>
      </c>
      <c r="G64">
        <v>105.75</v>
      </c>
      <c r="H64">
        <f>YEAR(Table1[[#This Row],[Order Date]])</f>
        <v>2023</v>
      </c>
      <c r="I64" t="str">
        <f>TEXT(Table1[[#This Row],[Order Date]],"mmmm")</f>
        <v>September</v>
      </c>
      <c r="J64" s="3">
        <f>Table1[[#This Row],[Profit]]/Table1[[#This Row],[Sales Amount]]</f>
        <v>0.3612667395463241</v>
      </c>
    </row>
    <row r="65" spans="1:10" x14ac:dyDescent="0.35">
      <c r="A65" s="1">
        <v>45184</v>
      </c>
      <c r="B65" t="s">
        <v>8</v>
      </c>
      <c r="C65" t="s">
        <v>11</v>
      </c>
      <c r="D65" t="s">
        <v>14</v>
      </c>
      <c r="E65">
        <v>4</v>
      </c>
      <c r="F65">
        <v>308.95999999999998</v>
      </c>
      <c r="G65">
        <v>64.34</v>
      </c>
      <c r="H65">
        <f>YEAR(Table1[[#This Row],[Order Date]])</f>
        <v>2023</v>
      </c>
      <c r="I65" t="str">
        <f>TEXT(Table1[[#This Row],[Order Date]],"mmmm")</f>
        <v>September</v>
      </c>
      <c r="J65" s="3">
        <f>Table1[[#This Row],[Profit]]/Table1[[#This Row],[Sales Amount]]</f>
        <v>0.20824702226825481</v>
      </c>
    </row>
    <row r="66" spans="1:10" x14ac:dyDescent="0.35">
      <c r="A66" s="1">
        <v>45105</v>
      </c>
      <c r="B66" t="s">
        <v>7</v>
      </c>
      <c r="C66" t="s">
        <v>12</v>
      </c>
      <c r="D66" t="s">
        <v>21</v>
      </c>
      <c r="E66">
        <v>3</v>
      </c>
      <c r="F66">
        <v>419.19</v>
      </c>
      <c r="G66">
        <v>101.21</v>
      </c>
      <c r="H66">
        <f>YEAR(Table1[[#This Row],[Order Date]])</f>
        <v>2023</v>
      </c>
      <c r="I66" t="str">
        <f>TEXT(Table1[[#This Row],[Order Date]],"mmmm")</f>
        <v>June</v>
      </c>
      <c r="J66" s="3">
        <f>Table1[[#This Row],[Profit]]/Table1[[#This Row],[Sales Amount]]</f>
        <v>0.24144182828788854</v>
      </c>
    </row>
    <row r="67" spans="1:10" x14ac:dyDescent="0.35">
      <c r="A67" s="1">
        <v>44970</v>
      </c>
      <c r="B67" t="s">
        <v>8</v>
      </c>
      <c r="C67" t="s">
        <v>11</v>
      </c>
      <c r="D67" t="s">
        <v>22</v>
      </c>
      <c r="E67">
        <v>2</v>
      </c>
      <c r="F67">
        <v>67.53</v>
      </c>
      <c r="G67">
        <v>96.56</v>
      </c>
      <c r="H67">
        <f>YEAR(Table1[[#This Row],[Order Date]])</f>
        <v>2023</v>
      </c>
      <c r="I67" t="str">
        <f>TEXT(Table1[[#This Row],[Order Date]],"mmmm")</f>
        <v>February</v>
      </c>
      <c r="J67" s="3">
        <f>Table1[[#This Row],[Profit]]/Table1[[#This Row],[Sales Amount]]</f>
        <v>1.4298830149563158</v>
      </c>
    </row>
    <row r="68" spans="1:10" x14ac:dyDescent="0.35">
      <c r="A68" s="1">
        <v>45263</v>
      </c>
      <c r="B68" t="s">
        <v>10</v>
      </c>
      <c r="C68" t="s">
        <v>11</v>
      </c>
      <c r="D68" t="s">
        <v>22</v>
      </c>
      <c r="E68">
        <v>2</v>
      </c>
      <c r="F68">
        <v>167.31</v>
      </c>
      <c r="G68">
        <v>79.45</v>
      </c>
      <c r="H68">
        <f>YEAR(Table1[[#This Row],[Order Date]])</f>
        <v>2023</v>
      </c>
      <c r="I68" t="str">
        <f>TEXT(Table1[[#This Row],[Order Date]],"mmmm")</f>
        <v>December</v>
      </c>
      <c r="J68" s="3">
        <f>Table1[[#This Row],[Profit]]/Table1[[#This Row],[Sales Amount]]</f>
        <v>0.4748670133285518</v>
      </c>
    </row>
    <row r="69" spans="1:10" x14ac:dyDescent="0.35">
      <c r="A69" s="1">
        <v>45040</v>
      </c>
      <c r="B69" t="s">
        <v>8</v>
      </c>
      <c r="C69" t="s">
        <v>13</v>
      </c>
      <c r="D69" t="s">
        <v>19</v>
      </c>
      <c r="E69">
        <v>8</v>
      </c>
      <c r="F69">
        <v>380.78</v>
      </c>
      <c r="G69">
        <v>122.49</v>
      </c>
      <c r="H69">
        <f>YEAR(Table1[[#This Row],[Order Date]])</f>
        <v>2023</v>
      </c>
      <c r="I69" t="str">
        <f>TEXT(Table1[[#This Row],[Order Date]],"mmmm")</f>
        <v>April</v>
      </c>
      <c r="J69" s="3">
        <f>Table1[[#This Row],[Profit]]/Table1[[#This Row],[Sales Amount]]</f>
        <v>0.32168181101948634</v>
      </c>
    </row>
    <row r="70" spans="1:10" x14ac:dyDescent="0.35">
      <c r="A70" s="1">
        <v>45090</v>
      </c>
      <c r="B70" t="s">
        <v>10</v>
      </c>
      <c r="C70" t="s">
        <v>12</v>
      </c>
      <c r="D70" t="s">
        <v>21</v>
      </c>
      <c r="E70">
        <v>9</v>
      </c>
      <c r="F70">
        <v>305.83</v>
      </c>
      <c r="G70">
        <v>90.63</v>
      </c>
      <c r="H70">
        <f>YEAR(Table1[[#This Row],[Order Date]])</f>
        <v>2023</v>
      </c>
      <c r="I70" t="str">
        <f>TEXT(Table1[[#This Row],[Order Date]],"mmmm")</f>
        <v>June</v>
      </c>
      <c r="J70" s="3">
        <f>Table1[[#This Row],[Profit]]/Table1[[#This Row],[Sales Amount]]</f>
        <v>0.2963411045351993</v>
      </c>
    </row>
    <row r="71" spans="1:10" x14ac:dyDescent="0.35">
      <c r="A71" s="1">
        <v>44962</v>
      </c>
      <c r="B71" t="s">
        <v>10</v>
      </c>
      <c r="C71" t="s">
        <v>11</v>
      </c>
      <c r="D71" t="s">
        <v>22</v>
      </c>
      <c r="E71">
        <v>7</v>
      </c>
      <c r="F71">
        <v>311.24</v>
      </c>
      <c r="G71">
        <v>131.4</v>
      </c>
      <c r="H71">
        <f>YEAR(Table1[[#This Row],[Order Date]])</f>
        <v>2023</v>
      </c>
      <c r="I71" t="str">
        <f>TEXT(Table1[[#This Row],[Order Date]],"mmmm")</f>
        <v>February</v>
      </c>
      <c r="J71" s="3">
        <f>Table1[[#This Row],[Profit]]/Table1[[#This Row],[Sales Amount]]</f>
        <v>0.42218223878678834</v>
      </c>
    </row>
    <row r="72" spans="1:10" x14ac:dyDescent="0.35">
      <c r="A72" s="1">
        <v>45194</v>
      </c>
      <c r="B72" t="s">
        <v>8</v>
      </c>
      <c r="C72" t="s">
        <v>12</v>
      </c>
      <c r="D72" t="s">
        <v>17</v>
      </c>
      <c r="E72">
        <v>7</v>
      </c>
      <c r="F72">
        <v>389.54</v>
      </c>
      <c r="G72">
        <v>24.44</v>
      </c>
      <c r="H72">
        <f>YEAR(Table1[[#This Row],[Order Date]])</f>
        <v>2023</v>
      </c>
      <c r="I72" t="str">
        <f>TEXT(Table1[[#This Row],[Order Date]],"mmmm")</f>
        <v>September</v>
      </c>
      <c r="J72" s="3">
        <f>Table1[[#This Row],[Profit]]/Table1[[#This Row],[Sales Amount]]</f>
        <v>6.2740668480772199E-2</v>
      </c>
    </row>
    <row r="73" spans="1:10" x14ac:dyDescent="0.35">
      <c r="A73" s="1">
        <v>44988</v>
      </c>
      <c r="B73" t="s">
        <v>9</v>
      </c>
      <c r="C73" t="s">
        <v>12</v>
      </c>
      <c r="D73" t="s">
        <v>21</v>
      </c>
      <c r="E73">
        <v>6</v>
      </c>
      <c r="F73">
        <v>183.94</v>
      </c>
      <c r="G73">
        <v>24</v>
      </c>
      <c r="H73">
        <f>YEAR(Table1[[#This Row],[Order Date]])</f>
        <v>2023</v>
      </c>
      <c r="I73" t="str">
        <f>TEXT(Table1[[#This Row],[Order Date]],"mmmm")</f>
        <v>March</v>
      </c>
      <c r="J73" s="3">
        <f>Table1[[#This Row],[Profit]]/Table1[[#This Row],[Sales Amount]]</f>
        <v>0.13047732956398825</v>
      </c>
    </row>
    <row r="74" spans="1:10" x14ac:dyDescent="0.35">
      <c r="A74" s="1">
        <v>45159</v>
      </c>
      <c r="B74" t="s">
        <v>7</v>
      </c>
      <c r="C74" t="s">
        <v>12</v>
      </c>
      <c r="D74" t="s">
        <v>21</v>
      </c>
      <c r="E74">
        <v>7</v>
      </c>
      <c r="F74">
        <v>480.56</v>
      </c>
      <c r="G74">
        <v>104.75</v>
      </c>
      <c r="H74">
        <f>YEAR(Table1[[#This Row],[Order Date]])</f>
        <v>2023</v>
      </c>
      <c r="I74" t="str">
        <f>TEXT(Table1[[#This Row],[Order Date]],"mmmm")</f>
        <v>August</v>
      </c>
      <c r="J74" s="3">
        <f>Table1[[#This Row],[Profit]]/Table1[[#This Row],[Sales Amount]]</f>
        <v>0.21797486266022972</v>
      </c>
    </row>
    <row r="75" spans="1:10" x14ac:dyDescent="0.35">
      <c r="A75" s="1">
        <v>45070</v>
      </c>
      <c r="B75" t="s">
        <v>8</v>
      </c>
      <c r="C75" t="s">
        <v>11</v>
      </c>
      <c r="D75" t="s">
        <v>22</v>
      </c>
      <c r="E75">
        <v>3</v>
      </c>
      <c r="F75">
        <v>321.10000000000002</v>
      </c>
      <c r="G75">
        <v>87.52</v>
      </c>
      <c r="H75">
        <f>YEAR(Table1[[#This Row],[Order Date]])</f>
        <v>2023</v>
      </c>
      <c r="I75" t="str">
        <f>TEXT(Table1[[#This Row],[Order Date]],"mmmm")</f>
        <v>May</v>
      </c>
      <c r="J75" s="3">
        <f>Table1[[#This Row],[Profit]]/Table1[[#This Row],[Sales Amount]]</f>
        <v>0.27256306446589845</v>
      </c>
    </row>
    <row r="76" spans="1:10" x14ac:dyDescent="0.35">
      <c r="A76" s="1">
        <v>44979</v>
      </c>
      <c r="B76" t="s">
        <v>7</v>
      </c>
      <c r="C76" t="s">
        <v>12</v>
      </c>
      <c r="D76" t="s">
        <v>21</v>
      </c>
      <c r="E76">
        <v>7</v>
      </c>
      <c r="F76">
        <v>91.04</v>
      </c>
      <c r="G76">
        <v>79.22</v>
      </c>
      <c r="H76">
        <f>YEAR(Table1[[#This Row],[Order Date]])</f>
        <v>2023</v>
      </c>
      <c r="I76" t="str">
        <f>TEXT(Table1[[#This Row],[Order Date]],"mmmm")</f>
        <v>February</v>
      </c>
      <c r="J76" s="3">
        <f>Table1[[#This Row],[Profit]]/Table1[[#This Row],[Sales Amount]]</f>
        <v>0.87016695957820733</v>
      </c>
    </row>
    <row r="77" spans="1:10" x14ac:dyDescent="0.35">
      <c r="A77" s="1">
        <v>45149</v>
      </c>
      <c r="B77" t="s">
        <v>10</v>
      </c>
      <c r="C77" t="s">
        <v>11</v>
      </c>
      <c r="D77" t="s">
        <v>22</v>
      </c>
      <c r="E77">
        <v>3</v>
      </c>
      <c r="F77">
        <v>449.47</v>
      </c>
      <c r="G77">
        <v>59.13</v>
      </c>
      <c r="H77">
        <f>YEAR(Table1[[#This Row],[Order Date]])</f>
        <v>2023</v>
      </c>
      <c r="I77" t="str">
        <f>TEXT(Table1[[#This Row],[Order Date]],"mmmm")</f>
        <v>August</v>
      </c>
      <c r="J77" s="3">
        <f>Table1[[#This Row],[Profit]]/Table1[[#This Row],[Sales Amount]]</f>
        <v>0.13155494248781899</v>
      </c>
    </row>
    <row r="78" spans="1:10" x14ac:dyDescent="0.35">
      <c r="A78" s="1">
        <v>45165</v>
      </c>
      <c r="B78" t="s">
        <v>9</v>
      </c>
      <c r="C78" t="s">
        <v>13</v>
      </c>
      <c r="D78" t="s">
        <v>20</v>
      </c>
      <c r="E78">
        <v>1</v>
      </c>
      <c r="F78">
        <v>95.51</v>
      </c>
      <c r="G78">
        <v>21.77</v>
      </c>
      <c r="H78">
        <f>YEAR(Table1[[#This Row],[Order Date]])</f>
        <v>2023</v>
      </c>
      <c r="I78" t="str">
        <f>TEXT(Table1[[#This Row],[Order Date]],"mmmm")</f>
        <v>August</v>
      </c>
      <c r="J78" s="3">
        <f>Table1[[#This Row],[Profit]]/Table1[[#This Row],[Sales Amount]]</f>
        <v>0.22793424772275153</v>
      </c>
    </row>
    <row r="79" spans="1:10" x14ac:dyDescent="0.35">
      <c r="A79" s="1">
        <v>45094</v>
      </c>
      <c r="B79" t="s">
        <v>10</v>
      </c>
      <c r="C79" t="s">
        <v>12</v>
      </c>
      <c r="D79" t="s">
        <v>21</v>
      </c>
      <c r="E79">
        <v>2</v>
      </c>
      <c r="F79">
        <v>451.35</v>
      </c>
      <c r="G79">
        <v>30.52</v>
      </c>
      <c r="H79">
        <f>YEAR(Table1[[#This Row],[Order Date]])</f>
        <v>2023</v>
      </c>
      <c r="I79" t="str">
        <f>TEXT(Table1[[#This Row],[Order Date]],"mmmm")</f>
        <v>June</v>
      </c>
      <c r="J79" s="3">
        <f>Table1[[#This Row],[Profit]]/Table1[[#This Row],[Sales Amount]]</f>
        <v>6.7619364129832715E-2</v>
      </c>
    </row>
    <row r="80" spans="1:10" x14ac:dyDescent="0.35">
      <c r="A80" s="1">
        <v>45091</v>
      </c>
      <c r="B80" t="s">
        <v>10</v>
      </c>
      <c r="C80" t="s">
        <v>12</v>
      </c>
      <c r="D80" t="s">
        <v>17</v>
      </c>
      <c r="E80">
        <v>8</v>
      </c>
      <c r="F80">
        <v>218.42</v>
      </c>
      <c r="G80">
        <v>61.89</v>
      </c>
      <c r="H80">
        <f>YEAR(Table1[[#This Row],[Order Date]])</f>
        <v>2023</v>
      </c>
      <c r="I80" t="str">
        <f>TEXT(Table1[[#This Row],[Order Date]],"mmmm")</f>
        <v>June</v>
      </c>
      <c r="J80" s="3">
        <f>Table1[[#This Row],[Profit]]/Table1[[#This Row],[Sales Amount]]</f>
        <v>0.2833531727863749</v>
      </c>
    </row>
    <row r="81" spans="1:10" x14ac:dyDescent="0.35">
      <c r="A81" s="1">
        <v>45253</v>
      </c>
      <c r="B81" t="s">
        <v>8</v>
      </c>
      <c r="C81" t="s">
        <v>12</v>
      </c>
      <c r="D81" t="s">
        <v>21</v>
      </c>
      <c r="E81">
        <v>4</v>
      </c>
      <c r="F81">
        <v>207.6</v>
      </c>
      <c r="G81">
        <v>109.15</v>
      </c>
      <c r="H81">
        <f>YEAR(Table1[[#This Row],[Order Date]])</f>
        <v>2023</v>
      </c>
      <c r="I81" t="str">
        <f>TEXT(Table1[[#This Row],[Order Date]],"mmmm")</f>
        <v>November</v>
      </c>
      <c r="J81" s="3">
        <f>Table1[[#This Row],[Profit]]/Table1[[#This Row],[Sales Amount]]</f>
        <v>0.52577071290944133</v>
      </c>
    </row>
    <row r="82" spans="1:10" x14ac:dyDescent="0.35">
      <c r="A82" s="1">
        <v>45290</v>
      </c>
      <c r="B82" t="s">
        <v>10</v>
      </c>
      <c r="C82" t="s">
        <v>11</v>
      </c>
      <c r="D82" t="s">
        <v>14</v>
      </c>
      <c r="E82">
        <v>3</v>
      </c>
      <c r="F82">
        <v>100.04</v>
      </c>
      <c r="G82">
        <v>78.97</v>
      </c>
      <c r="H82">
        <f>YEAR(Table1[[#This Row],[Order Date]])</f>
        <v>2023</v>
      </c>
      <c r="I82" t="str">
        <f>TEXT(Table1[[#This Row],[Order Date]],"mmmm")</f>
        <v>December</v>
      </c>
      <c r="J82" s="3">
        <f>Table1[[#This Row],[Profit]]/Table1[[#This Row],[Sales Amount]]</f>
        <v>0.7893842463014793</v>
      </c>
    </row>
    <row r="83" spans="1:10" x14ac:dyDescent="0.35">
      <c r="A83" s="1">
        <v>45168</v>
      </c>
      <c r="B83" t="s">
        <v>9</v>
      </c>
      <c r="C83" t="s">
        <v>12</v>
      </c>
      <c r="D83" t="s">
        <v>16</v>
      </c>
      <c r="E83">
        <v>4</v>
      </c>
      <c r="F83">
        <v>103.47</v>
      </c>
      <c r="G83">
        <v>26.45</v>
      </c>
      <c r="H83">
        <f>YEAR(Table1[[#This Row],[Order Date]])</f>
        <v>2023</v>
      </c>
      <c r="I83" t="str">
        <f>TEXT(Table1[[#This Row],[Order Date]],"mmmm")</f>
        <v>August</v>
      </c>
      <c r="J83" s="3">
        <f>Table1[[#This Row],[Profit]]/Table1[[#This Row],[Sales Amount]]</f>
        <v>0.25562965110660096</v>
      </c>
    </row>
    <row r="84" spans="1:10" x14ac:dyDescent="0.35">
      <c r="A84" s="1">
        <v>44927</v>
      </c>
      <c r="B84" t="s">
        <v>7</v>
      </c>
      <c r="C84" t="s">
        <v>12</v>
      </c>
      <c r="D84" t="s">
        <v>21</v>
      </c>
      <c r="E84">
        <v>9</v>
      </c>
      <c r="F84">
        <v>218.69</v>
      </c>
      <c r="G84">
        <v>50</v>
      </c>
      <c r="H84">
        <f>YEAR(Table1[[#This Row],[Order Date]])</f>
        <v>2023</v>
      </c>
      <c r="I84" t="str">
        <f>TEXT(Table1[[#This Row],[Order Date]],"mmmm")</f>
        <v>January</v>
      </c>
      <c r="J84" s="3">
        <f>Table1[[#This Row],[Profit]]/Table1[[#This Row],[Sales Amount]]</f>
        <v>0.2286341396497325</v>
      </c>
    </row>
    <row r="85" spans="1:10" x14ac:dyDescent="0.35">
      <c r="A85" s="1">
        <v>45043</v>
      </c>
      <c r="B85" t="s">
        <v>10</v>
      </c>
      <c r="C85" t="s">
        <v>12</v>
      </c>
      <c r="D85" t="s">
        <v>16</v>
      </c>
      <c r="E85">
        <v>5</v>
      </c>
      <c r="F85">
        <v>69.53</v>
      </c>
      <c r="G85">
        <v>139.44999999999999</v>
      </c>
      <c r="H85">
        <f>YEAR(Table1[[#This Row],[Order Date]])</f>
        <v>2023</v>
      </c>
      <c r="I85" t="str">
        <f>TEXT(Table1[[#This Row],[Order Date]],"mmmm")</f>
        <v>April</v>
      </c>
      <c r="J85" s="3">
        <f>Table1[[#This Row],[Profit]]/Table1[[#This Row],[Sales Amount]]</f>
        <v>2.0056090896016108</v>
      </c>
    </row>
    <row r="86" spans="1:10" x14ac:dyDescent="0.35">
      <c r="A86" s="1">
        <v>45090</v>
      </c>
      <c r="B86" t="s">
        <v>7</v>
      </c>
      <c r="C86" t="s">
        <v>12</v>
      </c>
      <c r="D86" t="s">
        <v>17</v>
      </c>
      <c r="E86">
        <v>4</v>
      </c>
      <c r="F86">
        <v>83.95</v>
      </c>
      <c r="G86">
        <v>33.270000000000003</v>
      </c>
      <c r="H86">
        <f>YEAR(Table1[[#This Row],[Order Date]])</f>
        <v>2023</v>
      </c>
      <c r="I86" t="str">
        <f>TEXT(Table1[[#This Row],[Order Date]],"mmmm")</f>
        <v>June</v>
      </c>
      <c r="J86" s="3">
        <f>Table1[[#This Row],[Profit]]/Table1[[#This Row],[Sales Amount]]</f>
        <v>0.39630732578916023</v>
      </c>
    </row>
    <row r="87" spans="1:10" x14ac:dyDescent="0.35">
      <c r="A87" s="1">
        <v>44940</v>
      </c>
      <c r="B87" t="s">
        <v>7</v>
      </c>
      <c r="C87" t="s">
        <v>12</v>
      </c>
      <c r="D87" t="s">
        <v>17</v>
      </c>
      <c r="E87">
        <v>1</v>
      </c>
      <c r="F87">
        <v>332.4</v>
      </c>
      <c r="G87">
        <v>91.8</v>
      </c>
      <c r="H87">
        <f>YEAR(Table1[[#This Row],[Order Date]])</f>
        <v>2023</v>
      </c>
      <c r="I87" t="str">
        <f>TEXT(Table1[[#This Row],[Order Date]],"mmmm")</f>
        <v>January</v>
      </c>
      <c r="J87" s="3">
        <f>Table1[[#This Row],[Profit]]/Table1[[#This Row],[Sales Amount]]</f>
        <v>0.27617328519855594</v>
      </c>
    </row>
    <row r="88" spans="1:10" x14ac:dyDescent="0.35">
      <c r="A88" s="1">
        <v>44938</v>
      </c>
      <c r="B88" t="s">
        <v>10</v>
      </c>
      <c r="C88" t="s">
        <v>11</v>
      </c>
      <c r="D88" t="s">
        <v>15</v>
      </c>
      <c r="E88">
        <v>8</v>
      </c>
      <c r="F88">
        <v>329.06</v>
      </c>
      <c r="G88">
        <v>48.83</v>
      </c>
      <c r="H88">
        <f>YEAR(Table1[[#This Row],[Order Date]])</f>
        <v>2023</v>
      </c>
      <c r="I88" t="str">
        <f>TEXT(Table1[[#This Row],[Order Date]],"mmmm")</f>
        <v>January</v>
      </c>
      <c r="J88" s="3">
        <f>Table1[[#This Row],[Profit]]/Table1[[#This Row],[Sales Amount]]</f>
        <v>0.14839239044551145</v>
      </c>
    </row>
    <row r="89" spans="1:10" x14ac:dyDescent="0.35">
      <c r="A89" s="1">
        <v>45062</v>
      </c>
      <c r="B89" t="s">
        <v>10</v>
      </c>
      <c r="C89" t="s">
        <v>13</v>
      </c>
      <c r="D89" t="s">
        <v>18</v>
      </c>
      <c r="E89">
        <v>5</v>
      </c>
      <c r="F89">
        <v>488.48</v>
      </c>
      <c r="G89">
        <v>148.07</v>
      </c>
      <c r="H89">
        <f>YEAR(Table1[[#This Row],[Order Date]])</f>
        <v>2023</v>
      </c>
      <c r="I89" t="str">
        <f>TEXT(Table1[[#This Row],[Order Date]],"mmmm")</f>
        <v>May</v>
      </c>
      <c r="J89" s="3">
        <f>Table1[[#This Row],[Profit]]/Table1[[#This Row],[Sales Amount]]</f>
        <v>0.30312397641663935</v>
      </c>
    </row>
    <row r="90" spans="1:10" x14ac:dyDescent="0.35">
      <c r="A90" s="1">
        <v>45071</v>
      </c>
      <c r="B90" t="s">
        <v>8</v>
      </c>
      <c r="C90" t="s">
        <v>13</v>
      </c>
      <c r="D90" t="s">
        <v>20</v>
      </c>
      <c r="E90">
        <v>5</v>
      </c>
      <c r="F90">
        <v>416.21</v>
      </c>
      <c r="G90">
        <v>105.86</v>
      </c>
      <c r="H90">
        <f>YEAR(Table1[[#This Row],[Order Date]])</f>
        <v>2023</v>
      </c>
      <c r="I90" t="str">
        <f>TEXT(Table1[[#This Row],[Order Date]],"mmmm")</f>
        <v>May</v>
      </c>
      <c r="J90" s="3">
        <f>Table1[[#This Row],[Profit]]/Table1[[#This Row],[Sales Amount]]</f>
        <v>0.25434275966459241</v>
      </c>
    </row>
    <row r="91" spans="1:10" x14ac:dyDescent="0.35">
      <c r="A91" s="1">
        <v>44972</v>
      </c>
      <c r="B91" t="s">
        <v>7</v>
      </c>
      <c r="C91" t="s">
        <v>12</v>
      </c>
      <c r="D91" t="s">
        <v>21</v>
      </c>
      <c r="E91">
        <v>6</v>
      </c>
      <c r="F91">
        <v>477.41</v>
      </c>
      <c r="G91">
        <v>111.6</v>
      </c>
      <c r="H91">
        <f>YEAR(Table1[[#This Row],[Order Date]])</f>
        <v>2023</v>
      </c>
      <c r="I91" t="str">
        <f>TEXT(Table1[[#This Row],[Order Date]],"mmmm")</f>
        <v>February</v>
      </c>
      <c r="J91" s="3">
        <f>Table1[[#This Row],[Profit]]/Table1[[#This Row],[Sales Amount]]</f>
        <v>0.23376133721539136</v>
      </c>
    </row>
    <row r="92" spans="1:10" x14ac:dyDescent="0.35">
      <c r="A92" s="1">
        <v>44936</v>
      </c>
      <c r="B92" t="s">
        <v>9</v>
      </c>
      <c r="C92" t="s">
        <v>11</v>
      </c>
      <c r="D92" t="s">
        <v>15</v>
      </c>
      <c r="E92">
        <v>2</v>
      </c>
      <c r="F92">
        <v>298.20999999999998</v>
      </c>
      <c r="G92">
        <v>33.08</v>
      </c>
      <c r="H92">
        <f>YEAR(Table1[[#This Row],[Order Date]])</f>
        <v>2023</v>
      </c>
      <c r="I92" t="str">
        <f>TEXT(Table1[[#This Row],[Order Date]],"mmmm")</f>
        <v>January</v>
      </c>
      <c r="J92" s="3">
        <f>Table1[[#This Row],[Profit]]/Table1[[#This Row],[Sales Amount]]</f>
        <v>0.11092854029039939</v>
      </c>
    </row>
    <row r="93" spans="1:10" x14ac:dyDescent="0.35">
      <c r="A93" s="1">
        <v>44991</v>
      </c>
      <c r="B93" t="s">
        <v>10</v>
      </c>
      <c r="C93" t="s">
        <v>12</v>
      </c>
      <c r="D93" t="s">
        <v>17</v>
      </c>
      <c r="E93">
        <v>1</v>
      </c>
      <c r="F93">
        <v>219.53</v>
      </c>
      <c r="G93">
        <v>114.94</v>
      </c>
      <c r="H93">
        <f>YEAR(Table1[[#This Row],[Order Date]])</f>
        <v>2023</v>
      </c>
      <c r="I93" t="str">
        <f>TEXT(Table1[[#This Row],[Order Date]],"mmmm")</f>
        <v>March</v>
      </c>
      <c r="J93" s="3">
        <f>Table1[[#This Row],[Profit]]/Table1[[#This Row],[Sales Amount]]</f>
        <v>0.52357308796064317</v>
      </c>
    </row>
    <row r="94" spans="1:10" x14ac:dyDescent="0.35">
      <c r="A94" s="1">
        <v>45268</v>
      </c>
      <c r="B94" t="s">
        <v>7</v>
      </c>
      <c r="C94" t="s">
        <v>12</v>
      </c>
      <c r="D94" t="s">
        <v>17</v>
      </c>
      <c r="E94">
        <v>1</v>
      </c>
      <c r="F94">
        <v>427.25</v>
      </c>
      <c r="G94">
        <v>75.62</v>
      </c>
      <c r="H94">
        <f>YEAR(Table1[[#This Row],[Order Date]])</f>
        <v>2023</v>
      </c>
      <c r="I94" t="str">
        <f>TEXT(Table1[[#This Row],[Order Date]],"mmmm")</f>
        <v>December</v>
      </c>
      <c r="J94" s="3">
        <f>Table1[[#This Row],[Profit]]/Table1[[#This Row],[Sales Amount]]</f>
        <v>0.17699239321240492</v>
      </c>
    </row>
    <row r="95" spans="1:10" x14ac:dyDescent="0.35">
      <c r="A95" s="1">
        <v>45237</v>
      </c>
      <c r="B95" t="s">
        <v>10</v>
      </c>
      <c r="C95" t="s">
        <v>11</v>
      </c>
      <c r="D95" t="s">
        <v>22</v>
      </c>
      <c r="E95">
        <v>5</v>
      </c>
      <c r="F95">
        <v>499.87</v>
      </c>
      <c r="G95">
        <v>149.53</v>
      </c>
      <c r="H95">
        <f>YEAR(Table1[[#This Row],[Order Date]])</f>
        <v>2023</v>
      </c>
      <c r="I95" t="str">
        <f>TEXT(Table1[[#This Row],[Order Date]],"mmmm")</f>
        <v>November</v>
      </c>
      <c r="J95" s="3">
        <f>Table1[[#This Row],[Profit]]/Table1[[#This Row],[Sales Amount]]</f>
        <v>0.29913777582171364</v>
      </c>
    </row>
    <row r="96" spans="1:10" x14ac:dyDescent="0.35">
      <c r="A96" s="1">
        <v>44949</v>
      </c>
      <c r="B96" t="s">
        <v>8</v>
      </c>
      <c r="C96" t="s">
        <v>12</v>
      </c>
      <c r="D96" t="s">
        <v>21</v>
      </c>
      <c r="E96">
        <v>5</v>
      </c>
      <c r="F96">
        <v>390.69</v>
      </c>
      <c r="G96">
        <v>62.9</v>
      </c>
      <c r="H96">
        <f>YEAR(Table1[[#This Row],[Order Date]])</f>
        <v>2023</v>
      </c>
      <c r="I96" t="str">
        <f>TEXT(Table1[[#This Row],[Order Date]],"mmmm")</f>
        <v>January</v>
      </c>
      <c r="J96" s="3">
        <f>Table1[[#This Row],[Profit]]/Table1[[#This Row],[Sales Amount]]</f>
        <v>0.16099721006424531</v>
      </c>
    </row>
    <row r="97" spans="1:10" x14ac:dyDescent="0.35">
      <c r="A97" s="1">
        <v>45004</v>
      </c>
      <c r="B97" t="s">
        <v>8</v>
      </c>
      <c r="C97" t="s">
        <v>12</v>
      </c>
      <c r="D97" t="s">
        <v>16</v>
      </c>
      <c r="E97">
        <v>1</v>
      </c>
      <c r="F97">
        <v>479.32</v>
      </c>
      <c r="G97">
        <v>94.86</v>
      </c>
      <c r="H97">
        <f>YEAR(Table1[[#This Row],[Order Date]])</f>
        <v>2023</v>
      </c>
      <c r="I97" t="str">
        <f>TEXT(Table1[[#This Row],[Order Date]],"mmmm")</f>
        <v>March</v>
      </c>
      <c r="J97" s="3">
        <f>Table1[[#This Row],[Profit]]/Table1[[#This Row],[Sales Amount]]</f>
        <v>0.19790536593507468</v>
      </c>
    </row>
    <row r="98" spans="1:10" x14ac:dyDescent="0.35">
      <c r="A98" s="1">
        <v>45214</v>
      </c>
      <c r="B98" t="s">
        <v>10</v>
      </c>
      <c r="C98" t="s">
        <v>13</v>
      </c>
      <c r="D98" t="s">
        <v>19</v>
      </c>
      <c r="E98">
        <v>8</v>
      </c>
      <c r="F98">
        <v>59.98</v>
      </c>
      <c r="G98">
        <v>79.739999999999995</v>
      </c>
      <c r="H98">
        <f>YEAR(Table1[[#This Row],[Order Date]])</f>
        <v>2023</v>
      </c>
      <c r="I98" t="str">
        <f>TEXT(Table1[[#This Row],[Order Date]],"mmmm")</f>
        <v>October</v>
      </c>
      <c r="J98" s="3">
        <f>Table1[[#This Row],[Profit]]/Table1[[#This Row],[Sales Amount]]</f>
        <v>1.3294431477159052</v>
      </c>
    </row>
    <row r="99" spans="1:10" x14ac:dyDescent="0.35">
      <c r="A99" s="1">
        <v>45044</v>
      </c>
      <c r="B99" t="s">
        <v>7</v>
      </c>
      <c r="C99" t="s">
        <v>13</v>
      </c>
      <c r="D99" t="s">
        <v>19</v>
      </c>
      <c r="E99">
        <v>2</v>
      </c>
      <c r="F99">
        <v>433.48</v>
      </c>
      <c r="G99">
        <v>87.27</v>
      </c>
      <c r="H99">
        <f>YEAR(Table1[[#This Row],[Order Date]])</f>
        <v>2023</v>
      </c>
      <c r="I99" t="str">
        <f>TEXT(Table1[[#This Row],[Order Date]],"mmmm")</f>
        <v>April</v>
      </c>
      <c r="J99" s="3">
        <f>Table1[[#This Row],[Profit]]/Table1[[#This Row],[Sales Amount]]</f>
        <v>0.201324167204946</v>
      </c>
    </row>
    <row r="100" spans="1:10" x14ac:dyDescent="0.35">
      <c r="A100" s="1">
        <v>45148</v>
      </c>
      <c r="B100" t="s">
        <v>7</v>
      </c>
      <c r="C100" t="s">
        <v>12</v>
      </c>
      <c r="D100" t="s">
        <v>21</v>
      </c>
      <c r="E100">
        <v>1</v>
      </c>
      <c r="F100">
        <v>110.31</v>
      </c>
      <c r="G100">
        <v>14.03</v>
      </c>
      <c r="H100">
        <f>YEAR(Table1[[#This Row],[Order Date]])</f>
        <v>2023</v>
      </c>
      <c r="I100" t="str">
        <f>TEXT(Table1[[#This Row],[Order Date]],"mmmm")</f>
        <v>August</v>
      </c>
      <c r="J100" s="3">
        <f>Table1[[#This Row],[Profit]]/Table1[[#This Row],[Sales Amount]]</f>
        <v>0.12718701840268334</v>
      </c>
    </row>
    <row r="101" spans="1:10" x14ac:dyDescent="0.35">
      <c r="A101" s="1">
        <v>45155</v>
      </c>
      <c r="B101" t="s">
        <v>8</v>
      </c>
      <c r="C101" t="s">
        <v>11</v>
      </c>
      <c r="D101" t="s">
        <v>15</v>
      </c>
      <c r="E101">
        <v>2</v>
      </c>
      <c r="F101">
        <v>412.27</v>
      </c>
      <c r="G101">
        <v>136.44</v>
      </c>
      <c r="H101">
        <f>YEAR(Table1[[#This Row],[Order Date]])</f>
        <v>2023</v>
      </c>
      <c r="I101" t="str">
        <f>TEXT(Table1[[#This Row],[Order Date]],"mmmm")</f>
        <v>August</v>
      </c>
      <c r="J101" s="3">
        <f>Table1[[#This Row],[Profit]]/Table1[[#This Row],[Sales Amount]]</f>
        <v>0.33094816503747543</v>
      </c>
    </row>
    <row r="102" spans="1:10" x14ac:dyDescent="0.35">
      <c r="A102" s="1">
        <v>45220</v>
      </c>
      <c r="B102" t="s">
        <v>10</v>
      </c>
      <c r="C102" t="s">
        <v>13</v>
      </c>
      <c r="D102" t="s">
        <v>18</v>
      </c>
      <c r="E102">
        <v>2</v>
      </c>
      <c r="F102">
        <v>226.51</v>
      </c>
      <c r="G102">
        <v>71.25</v>
      </c>
      <c r="H102">
        <f>YEAR(Table1[[#This Row],[Order Date]])</f>
        <v>2023</v>
      </c>
      <c r="I102" t="str">
        <f>TEXT(Table1[[#This Row],[Order Date]],"mmmm")</f>
        <v>October</v>
      </c>
      <c r="J102" s="3">
        <f>Table1[[#This Row],[Profit]]/Table1[[#This Row],[Sales Amount]]</f>
        <v>0.3145556487572293</v>
      </c>
    </row>
    <row r="103" spans="1:10" x14ac:dyDescent="0.35">
      <c r="A103" s="1">
        <v>45234</v>
      </c>
      <c r="B103" t="s">
        <v>8</v>
      </c>
      <c r="C103" t="s">
        <v>11</v>
      </c>
      <c r="D103" t="s">
        <v>15</v>
      </c>
      <c r="E103">
        <v>1</v>
      </c>
      <c r="F103">
        <v>402.64</v>
      </c>
      <c r="G103">
        <v>65.52</v>
      </c>
      <c r="H103">
        <f>YEAR(Table1[[#This Row],[Order Date]])</f>
        <v>2023</v>
      </c>
      <c r="I103" t="str">
        <f>TEXT(Table1[[#This Row],[Order Date]],"mmmm")</f>
        <v>November</v>
      </c>
      <c r="J103" s="3">
        <f>Table1[[#This Row],[Profit]]/Table1[[#This Row],[Sales Amount]]</f>
        <v>0.16272600834492351</v>
      </c>
    </row>
    <row r="104" spans="1:10" x14ac:dyDescent="0.35">
      <c r="A104" s="1">
        <v>45032</v>
      </c>
      <c r="B104" t="s">
        <v>7</v>
      </c>
      <c r="C104" t="s">
        <v>11</v>
      </c>
      <c r="D104" t="s">
        <v>22</v>
      </c>
      <c r="E104">
        <v>5</v>
      </c>
      <c r="F104">
        <v>408.41</v>
      </c>
      <c r="G104">
        <v>74.31</v>
      </c>
      <c r="H104">
        <f>YEAR(Table1[[#This Row],[Order Date]])</f>
        <v>2023</v>
      </c>
      <c r="I104" t="str">
        <f>TEXT(Table1[[#This Row],[Order Date]],"mmmm")</f>
        <v>April</v>
      </c>
      <c r="J104" s="3">
        <f>Table1[[#This Row],[Profit]]/Table1[[#This Row],[Sales Amount]]</f>
        <v>0.18194951152028599</v>
      </c>
    </row>
    <row r="105" spans="1:10" x14ac:dyDescent="0.35">
      <c r="A105" s="1">
        <v>45256</v>
      </c>
      <c r="B105" t="s">
        <v>8</v>
      </c>
      <c r="C105" t="s">
        <v>12</v>
      </c>
      <c r="D105" t="s">
        <v>21</v>
      </c>
      <c r="E105">
        <v>2</v>
      </c>
      <c r="F105">
        <v>329.36</v>
      </c>
      <c r="G105">
        <v>58.64</v>
      </c>
      <c r="H105">
        <f>YEAR(Table1[[#This Row],[Order Date]])</f>
        <v>2023</v>
      </c>
      <c r="I105" t="str">
        <f>TEXT(Table1[[#This Row],[Order Date]],"mmmm")</f>
        <v>November</v>
      </c>
      <c r="J105" s="3">
        <f>Table1[[#This Row],[Profit]]/Table1[[#This Row],[Sales Amount]]</f>
        <v>0.17804226378430896</v>
      </c>
    </row>
    <row r="106" spans="1:10" x14ac:dyDescent="0.35">
      <c r="A106" s="1">
        <v>45161</v>
      </c>
      <c r="B106" t="s">
        <v>7</v>
      </c>
      <c r="C106" t="s">
        <v>13</v>
      </c>
      <c r="D106" t="s">
        <v>19</v>
      </c>
      <c r="E106">
        <v>3</v>
      </c>
      <c r="F106">
        <v>291.77</v>
      </c>
      <c r="G106">
        <v>74.42</v>
      </c>
      <c r="H106">
        <f>YEAR(Table1[[#This Row],[Order Date]])</f>
        <v>2023</v>
      </c>
      <c r="I106" t="str">
        <f>TEXT(Table1[[#This Row],[Order Date]],"mmmm")</f>
        <v>August</v>
      </c>
      <c r="J106" s="3">
        <f>Table1[[#This Row],[Profit]]/Table1[[#This Row],[Sales Amount]]</f>
        <v>0.25506392021112523</v>
      </c>
    </row>
    <row r="107" spans="1:10" x14ac:dyDescent="0.35">
      <c r="A107" s="1">
        <v>44934</v>
      </c>
      <c r="B107" t="s">
        <v>9</v>
      </c>
      <c r="C107" t="s">
        <v>11</v>
      </c>
      <c r="D107" t="s">
        <v>22</v>
      </c>
      <c r="E107">
        <v>3</v>
      </c>
      <c r="F107">
        <v>443.44</v>
      </c>
      <c r="G107">
        <v>82.13</v>
      </c>
      <c r="H107">
        <f>YEAR(Table1[[#This Row],[Order Date]])</f>
        <v>2023</v>
      </c>
      <c r="I107" t="str">
        <f>TEXT(Table1[[#This Row],[Order Date]],"mmmm")</f>
        <v>January</v>
      </c>
      <c r="J107" s="3">
        <f>Table1[[#This Row],[Profit]]/Table1[[#This Row],[Sales Amount]]</f>
        <v>0.18521107703409706</v>
      </c>
    </row>
    <row r="108" spans="1:10" x14ac:dyDescent="0.35">
      <c r="A108" s="1">
        <v>44987</v>
      </c>
      <c r="B108" t="s">
        <v>10</v>
      </c>
      <c r="C108" t="s">
        <v>13</v>
      </c>
      <c r="D108" t="s">
        <v>19</v>
      </c>
      <c r="E108">
        <v>3</v>
      </c>
      <c r="F108">
        <v>419.81</v>
      </c>
      <c r="G108">
        <v>58.31</v>
      </c>
      <c r="H108">
        <f>YEAR(Table1[[#This Row],[Order Date]])</f>
        <v>2023</v>
      </c>
      <c r="I108" t="str">
        <f>TEXT(Table1[[#This Row],[Order Date]],"mmmm")</f>
        <v>March</v>
      </c>
      <c r="J108" s="3">
        <f>Table1[[#This Row],[Profit]]/Table1[[#This Row],[Sales Amount]]</f>
        <v>0.13889616731378482</v>
      </c>
    </row>
    <row r="109" spans="1:10" x14ac:dyDescent="0.35">
      <c r="A109" s="1">
        <v>45243</v>
      </c>
      <c r="B109" t="s">
        <v>10</v>
      </c>
      <c r="C109" t="s">
        <v>13</v>
      </c>
      <c r="D109" t="s">
        <v>20</v>
      </c>
      <c r="E109">
        <v>6</v>
      </c>
      <c r="F109">
        <v>104.29</v>
      </c>
      <c r="G109">
        <v>74.510000000000005</v>
      </c>
      <c r="H109">
        <f>YEAR(Table1[[#This Row],[Order Date]])</f>
        <v>2023</v>
      </c>
      <c r="I109" t="str">
        <f>TEXT(Table1[[#This Row],[Order Date]],"mmmm")</f>
        <v>November</v>
      </c>
      <c r="J109" s="3">
        <f>Table1[[#This Row],[Profit]]/Table1[[#This Row],[Sales Amount]]</f>
        <v>0.71445009109214686</v>
      </c>
    </row>
    <row r="110" spans="1:10" x14ac:dyDescent="0.35">
      <c r="A110" s="1">
        <v>44972</v>
      </c>
      <c r="B110" t="s">
        <v>10</v>
      </c>
      <c r="C110" t="s">
        <v>13</v>
      </c>
      <c r="D110" t="s">
        <v>20</v>
      </c>
      <c r="E110">
        <v>9</v>
      </c>
      <c r="F110">
        <v>91.53</v>
      </c>
      <c r="G110">
        <v>77.36</v>
      </c>
      <c r="H110">
        <f>YEAR(Table1[[#This Row],[Order Date]])</f>
        <v>2023</v>
      </c>
      <c r="I110" t="str">
        <f>TEXT(Table1[[#This Row],[Order Date]],"mmmm")</f>
        <v>February</v>
      </c>
      <c r="J110" s="3">
        <f>Table1[[#This Row],[Profit]]/Table1[[#This Row],[Sales Amount]]</f>
        <v>0.84518737026111657</v>
      </c>
    </row>
    <row r="111" spans="1:10" x14ac:dyDescent="0.35">
      <c r="A111" s="1">
        <v>45165</v>
      </c>
      <c r="B111" t="s">
        <v>9</v>
      </c>
      <c r="C111" t="s">
        <v>13</v>
      </c>
      <c r="D111" t="s">
        <v>18</v>
      </c>
      <c r="E111">
        <v>1</v>
      </c>
      <c r="F111">
        <v>174.59</v>
      </c>
      <c r="G111">
        <v>122.87</v>
      </c>
      <c r="H111">
        <f>YEAR(Table1[[#This Row],[Order Date]])</f>
        <v>2023</v>
      </c>
      <c r="I111" t="str">
        <f>TEXT(Table1[[#This Row],[Order Date]],"mmmm")</f>
        <v>August</v>
      </c>
      <c r="J111" s="3">
        <f>Table1[[#This Row],[Profit]]/Table1[[#This Row],[Sales Amount]]</f>
        <v>0.7037631021249785</v>
      </c>
    </row>
    <row r="112" spans="1:10" x14ac:dyDescent="0.35">
      <c r="A112" s="1">
        <v>45281</v>
      </c>
      <c r="B112" t="s">
        <v>8</v>
      </c>
      <c r="C112" t="s">
        <v>12</v>
      </c>
      <c r="D112" t="s">
        <v>17</v>
      </c>
      <c r="E112">
        <v>8</v>
      </c>
      <c r="F112">
        <v>268.04000000000002</v>
      </c>
      <c r="G112">
        <v>96.56</v>
      </c>
      <c r="H112">
        <f>YEAR(Table1[[#This Row],[Order Date]])</f>
        <v>2023</v>
      </c>
      <c r="I112" t="str">
        <f>TEXT(Table1[[#This Row],[Order Date]],"mmmm")</f>
        <v>December</v>
      </c>
      <c r="J112" s="3">
        <f>Table1[[#This Row],[Profit]]/Table1[[#This Row],[Sales Amount]]</f>
        <v>0.36024473959110581</v>
      </c>
    </row>
    <row r="113" spans="1:10" x14ac:dyDescent="0.35">
      <c r="A113" s="1">
        <v>45004</v>
      </c>
      <c r="B113" t="s">
        <v>9</v>
      </c>
      <c r="C113" t="s">
        <v>11</v>
      </c>
      <c r="D113" t="s">
        <v>15</v>
      </c>
      <c r="E113">
        <v>8</v>
      </c>
      <c r="F113">
        <v>109.9</v>
      </c>
      <c r="G113">
        <v>106.2</v>
      </c>
      <c r="H113">
        <f>YEAR(Table1[[#This Row],[Order Date]])</f>
        <v>2023</v>
      </c>
      <c r="I113" t="str">
        <f>TEXT(Table1[[#This Row],[Order Date]],"mmmm")</f>
        <v>March</v>
      </c>
      <c r="J113" s="3">
        <f>Table1[[#This Row],[Profit]]/Table1[[#This Row],[Sales Amount]]</f>
        <v>0.96633303002729753</v>
      </c>
    </row>
    <row r="114" spans="1:10" x14ac:dyDescent="0.35">
      <c r="A114" s="1">
        <v>45164</v>
      </c>
      <c r="B114" t="s">
        <v>7</v>
      </c>
      <c r="C114" t="s">
        <v>11</v>
      </c>
      <c r="D114" t="s">
        <v>14</v>
      </c>
      <c r="E114">
        <v>2</v>
      </c>
      <c r="F114">
        <v>251.34</v>
      </c>
      <c r="G114">
        <v>84.57</v>
      </c>
      <c r="H114">
        <f>YEAR(Table1[[#This Row],[Order Date]])</f>
        <v>2023</v>
      </c>
      <c r="I114" t="str">
        <f>TEXT(Table1[[#This Row],[Order Date]],"mmmm")</f>
        <v>August</v>
      </c>
      <c r="J114" s="3">
        <f>Table1[[#This Row],[Profit]]/Table1[[#This Row],[Sales Amount]]</f>
        <v>0.33647648603485314</v>
      </c>
    </row>
    <row r="115" spans="1:10" x14ac:dyDescent="0.35">
      <c r="A115" s="1">
        <v>45118</v>
      </c>
      <c r="B115" t="s">
        <v>8</v>
      </c>
      <c r="C115" t="s">
        <v>11</v>
      </c>
      <c r="D115" t="s">
        <v>14</v>
      </c>
      <c r="E115">
        <v>5</v>
      </c>
      <c r="F115">
        <v>132.03</v>
      </c>
      <c r="G115">
        <v>88.96</v>
      </c>
      <c r="H115">
        <f>YEAR(Table1[[#This Row],[Order Date]])</f>
        <v>2023</v>
      </c>
      <c r="I115" t="str">
        <f>TEXT(Table1[[#This Row],[Order Date]],"mmmm")</f>
        <v>July</v>
      </c>
      <c r="J115" s="3">
        <f>Table1[[#This Row],[Profit]]/Table1[[#This Row],[Sales Amount]]</f>
        <v>0.67378626069832603</v>
      </c>
    </row>
    <row r="116" spans="1:10" x14ac:dyDescent="0.35">
      <c r="A116" s="1">
        <v>45157</v>
      </c>
      <c r="B116" t="s">
        <v>10</v>
      </c>
      <c r="C116" t="s">
        <v>12</v>
      </c>
      <c r="D116" t="s">
        <v>16</v>
      </c>
      <c r="E116">
        <v>9</v>
      </c>
      <c r="F116">
        <v>450.74</v>
      </c>
      <c r="G116">
        <v>93.1</v>
      </c>
      <c r="H116">
        <f>YEAR(Table1[[#This Row],[Order Date]])</f>
        <v>2023</v>
      </c>
      <c r="I116" t="str">
        <f>TEXT(Table1[[#This Row],[Order Date]],"mmmm")</f>
        <v>August</v>
      </c>
      <c r="J116" s="3">
        <f>Table1[[#This Row],[Profit]]/Table1[[#This Row],[Sales Amount]]</f>
        <v>0.20654923015485643</v>
      </c>
    </row>
    <row r="117" spans="1:10" x14ac:dyDescent="0.35">
      <c r="A117" s="1">
        <v>44993</v>
      </c>
      <c r="B117" t="s">
        <v>8</v>
      </c>
      <c r="C117" t="s">
        <v>13</v>
      </c>
      <c r="D117" t="s">
        <v>20</v>
      </c>
      <c r="E117">
        <v>2</v>
      </c>
      <c r="F117">
        <v>89.11</v>
      </c>
      <c r="G117">
        <v>85.19</v>
      </c>
      <c r="H117">
        <f>YEAR(Table1[[#This Row],[Order Date]])</f>
        <v>2023</v>
      </c>
      <c r="I117" t="str">
        <f>TEXT(Table1[[#This Row],[Order Date]],"mmmm")</f>
        <v>March</v>
      </c>
      <c r="J117" s="3">
        <f>Table1[[#This Row],[Profit]]/Table1[[#This Row],[Sales Amount]]</f>
        <v>0.95600942655145327</v>
      </c>
    </row>
    <row r="118" spans="1:10" x14ac:dyDescent="0.35">
      <c r="A118" s="1">
        <v>45037</v>
      </c>
      <c r="B118" t="s">
        <v>9</v>
      </c>
      <c r="C118" t="s">
        <v>13</v>
      </c>
      <c r="D118" t="s">
        <v>20</v>
      </c>
      <c r="E118">
        <v>3</v>
      </c>
      <c r="F118">
        <v>220.45</v>
      </c>
      <c r="G118">
        <v>57.24</v>
      </c>
      <c r="H118">
        <f>YEAR(Table1[[#This Row],[Order Date]])</f>
        <v>2023</v>
      </c>
      <c r="I118" t="str">
        <f>TEXT(Table1[[#This Row],[Order Date]],"mmmm")</f>
        <v>April</v>
      </c>
      <c r="J118" s="3">
        <f>Table1[[#This Row],[Profit]]/Table1[[#This Row],[Sales Amount]]</f>
        <v>0.25965071444772059</v>
      </c>
    </row>
    <row r="119" spans="1:10" x14ac:dyDescent="0.35">
      <c r="A119" s="1">
        <v>45246</v>
      </c>
      <c r="B119" t="s">
        <v>10</v>
      </c>
      <c r="C119" t="s">
        <v>13</v>
      </c>
      <c r="D119" t="s">
        <v>19</v>
      </c>
      <c r="E119">
        <v>8</v>
      </c>
      <c r="F119">
        <v>274.20999999999998</v>
      </c>
      <c r="G119">
        <v>56.25</v>
      </c>
      <c r="H119">
        <f>YEAR(Table1[[#This Row],[Order Date]])</f>
        <v>2023</v>
      </c>
      <c r="I119" t="str">
        <f>TEXT(Table1[[#This Row],[Order Date]],"mmmm")</f>
        <v>November</v>
      </c>
      <c r="J119" s="3">
        <f>Table1[[#This Row],[Profit]]/Table1[[#This Row],[Sales Amount]]</f>
        <v>0.20513475073848511</v>
      </c>
    </row>
    <row r="120" spans="1:10" x14ac:dyDescent="0.35">
      <c r="A120" s="1">
        <v>45215</v>
      </c>
      <c r="B120" t="s">
        <v>8</v>
      </c>
      <c r="C120" t="s">
        <v>12</v>
      </c>
      <c r="D120" t="s">
        <v>16</v>
      </c>
      <c r="E120">
        <v>5</v>
      </c>
      <c r="F120">
        <v>118.79</v>
      </c>
      <c r="G120">
        <v>44.43</v>
      </c>
      <c r="H120">
        <f>YEAR(Table1[[#This Row],[Order Date]])</f>
        <v>2023</v>
      </c>
      <c r="I120" t="str">
        <f>TEXT(Table1[[#This Row],[Order Date]],"mmmm")</f>
        <v>October</v>
      </c>
      <c r="J120" s="3">
        <f>Table1[[#This Row],[Profit]]/Table1[[#This Row],[Sales Amount]]</f>
        <v>0.37402138227123494</v>
      </c>
    </row>
    <row r="121" spans="1:10" x14ac:dyDescent="0.35">
      <c r="A121" s="1">
        <v>45257</v>
      </c>
      <c r="B121" t="s">
        <v>10</v>
      </c>
      <c r="C121" t="s">
        <v>13</v>
      </c>
      <c r="D121" t="s">
        <v>18</v>
      </c>
      <c r="E121">
        <v>8</v>
      </c>
      <c r="F121">
        <v>453.54</v>
      </c>
      <c r="G121">
        <v>21.23</v>
      </c>
      <c r="H121">
        <f>YEAR(Table1[[#This Row],[Order Date]])</f>
        <v>2023</v>
      </c>
      <c r="I121" t="str">
        <f>TEXT(Table1[[#This Row],[Order Date]],"mmmm")</f>
        <v>November</v>
      </c>
      <c r="J121" s="3">
        <f>Table1[[#This Row],[Profit]]/Table1[[#This Row],[Sales Amount]]</f>
        <v>4.6809542708471139E-2</v>
      </c>
    </row>
    <row r="122" spans="1:10" x14ac:dyDescent="0.35">
      <c r="A122" s="1">
        <v>44957</v>
      </c>
      <c r="B122" t="s">
        <v>9</v>
      </c>
      <c r="C122" t="s">
        <v>11</v>
      </c>
      <c r="D122" t="s">
        <v>22</v>
      </c>
      <c r="E122">
        <v>4</v>
      </c>
      <c r="F122">
        <v>498.76</v>
      </c>
      <c r="G122">
        <v>135.53</v>
      </c>
      <c r="H122">
        <f>YEAR(Table1[[#This Row],[Order Date]])</f>
        <v>2023</v>
      </c>
      <c r="I122" t="str">
        <f>TEXT(Table1[[#This Row],[Order Date]],"mmmm")</f>
        <v>January</v>
      </c>
      <c r="J122" s="3">
        <f>Table1[[#This Row],[Profit]]/Table1[[#This Row],[Sales Amount]]</f>
        <v>0.27173390007217901</v>
      </c>
    </row>
    <row r="123" spans="1:10" x14ac:dyDescent="0.35">
      <c r="A123" s="1">
        <v>44930</v>
      </c>
      <c r="B123" t="s">
        <v>7</v>
      </c>
      <c r="C123" t="s">
        <v>11</v>
      </c>
      <c r="D123" t="s">
        <v>15</v>
      </c>
      <c r="E123">
        <v>6</v>
      </c>
      <c r="F123">
        <v>166.06</v>
      </c>
      <c r="G123">
        <v>33.92</v>
      </c>
      <c r="H123">
        <f>YEAR(Table1[[#This Row],[Order Date]])</f>
        <v>2023</v>
      </c>
      <c r="I123" t="str">
        <f>TEXT(Table1[[#This Row],[Order Date]],"mmmm")</f>
        <v>January</v>
      </c>
      <c r="J123" s="3">
        <f>Table1[[#This Row],[Profit]]/Table1[[#This Row],[Sales Amount]]</f>
        <v>0.20426351920992414</v>
      </c>
    </row>
    <row r="124" spans="1:10" x14ac:dyDescent="0.35">
      <c r="A124" s="1">
        <v>44988</v>
      </c>
      <c r="B124" t="s">
        <v>8</v>
      </c>
      <c r="C124" t="s">
        <v>11</v>
      </c>
      <c r="D124" t="s">
        <v>15</v>
      </c>
      <c r="E124">
        <v>8</v>
      </c>
      <c r="F124">
        <v>264.48</v>
      </c>
      <c r="G124">
        <v>127.4</v>
      </c>
      <c r="H124">
        <f>YEAR(Table1[[#This Row],[Order Date]])</f>
        <v>2023</v>
      </c>
      <c r="I124" t="str">
        <f>TEXT(Table1[[#This Row],[Order Date]],"mmmm")</f>
        <v>March</v>
      </c>
      <c r="J124" s="3">
        <f>Table1[[#This Row],[Profit]]/Table1[[#This Row],[Sales Amount]]</f>
        <v>0.48169993950393225</v>
      </c>
    </row>
    <row r="125" spans="1:10" x14ac:dyDescent="0.35">
      <c r="A125" s="1">
        <v>45252</v>
      </c>
      <c r="B125" t="s">
        <v>10</v>
      </c>
      <c r="C125" t="s">
        <v>12</v>
      </c>
      <c r="D125" t="s">
        <v>16</v>
      </c>
      <c r="E125">
        <v>4</v>
      </c>
      <c r="F125">
        <v>241.45</v>
      </c>
      <c r="G125">
        <v>81.069999999999993</v>
      </c>
      <c r="H125">
        <f>YEAR(Table1[[#This Row],[Order Date]])</f>
        <v>2023</v>
      </c>
      <c r="I125" t="str">
        <f>TEXT(Table1[[#This Row],[Order Date]],"mmmm")</f>
        <v>November</v>
      </c>
      <c r="J125" s="3">
        <f>Table1[[#This Row],[Profit]]/Table1[[#This Row],[Sales Amount]]</f>
        <v>0.33576309794988607</v>
      </c>
    </row>
    <row r="126" spans="1:10" x14ac:dyDescent="0.35">
      <c r="A126" s="1">
        <v>45066</v>
      </c>
      <c r="B126" t="s">
        <v>7</v>
      </c>
      <c r="C126" t="s">
        <v>12</v>
      </c>
      <c r="D126" t="s">
        <v>21</v>
      </c>
      <c r="E126">
        <v>6</v>
      </c>
      <c r="F126">
        <v>311.56</v>
      </c>
      <c r="G126">
        <v>31.61</v>
      </c>
      <c r="H126">
        <f>YEAR(Table1[[#This Row],[Order Date]])</f>
        <v>2023</v>
      </c>
      <c r="I126" t="str">
        <f>TEXT(Table1[[#This Row],[Order Date]],"mmmm")</f>
        <v>May</v>
      </c>
      <c r="J126" s="3">
        <f>Table1[[#This Row],[Profit]]/Table1[[#This Row],[Sales Amount]]</f>
        <v>0.10145718320708691</v>
      </c>
    </row>
    <row r="127" spans="1:10" x14ac:dyDescent="0.35">
      <c r="A127" s="1">
        <v>45185</v>
      </c>
      <c r="B127" t="s">
        <v>8</v>
      </c>
      <c r="C127" t="s">
        <v>12</v>
      </c>
      <c r="D127" t="s">
        <v>16</v>
      </c>
      <c r="E127">
        <v>2</v>
      </c>
      <c r="F127">
        <v>254.42</v>
      </c>
      <c r="G127">
        <v>86.8</v>
      </c>
      <c r="H127">
        <f>YEAR(Table1[[#This Row],[Order Date]])</f>
        <v>2023</v>
      </c>
      <c r="I127" t="str">
        <f>TEXT(Table1[[#This Row],[Order Date]],"mmmm")</f>
        <v>September</v>
      </c>
      <c r="J127" s="3">
        <f>Table1[[#This Row],[Profit]]/Table1[[#This Row],[Sales Amount]]</f>
        <v>0.34116814715824229</v>
      </c>
    </row>
    <row r="128" spans="1:10" x14ac:dyDescent="0.35">
      <c r="A128" s="1">
        <v>45098</v>
      </c>
      <c r="B128" t="s">
        <v>10</v>
      </c>
      <c r="C128" t="s">
        <v>13</v>
      </c>
      <c r="D128" t="s">
        <v>20</v>
      </c>
      <c r="E128">
        <v>8</v>
      </c>
      <c r="F128">
        <v>414.44</v>
      </c>
      <c r="G128">
        <v>45.65</v>
      </c>
      <c r="H128">
        <f>YEAR(Table1[[#This Row],[Order Date]])</f>
        <v>2023</v>
      </c>
      <c r="I128" t="str">
        <f>TEXT(Table1[[#This Row],[Order Date]],"mmmm")</f>
        <v>June</v>
      </c>
      <c r="J128" s="3">
        <f>Table1[[#This Row],[Profit]]/Table1[[#This Row],[Sales Amount]]</f>
        <v>0.11014863430170832</v>
      </c>
    </row>
    <row r="129" spans="1:10" x14ac:dyDescent="0.35">
      <c r="A129" s="1">
        <v>45255</v>
      </c>
      <c r="B129" t="s">
        <v>8</v>
      </c>
      <c r="C129" t="s">
        <v>12</v>
      </c>
      <c r="D129" t="s">
        <v>21</v>
      </c>
      <c r="E129">
        <v>8</v>
      </c>
      <c r="F129">
        <v>322.75</v>
      </c>
      <c r="G129">
        <v>121.2</v>
      </c>
      <c r="H129">
        <f>YEAR(Table1[[#This Row],[Order Date]])</f>
        <v>2023</v>
      </c>
      <c r="I129" t="str">
        <f>TEXT(Table1[[#This Row],[Order Date]],"mmmm")</f>
        <v>November</v>
      </c>
      <c r="J129" s="3">
        <f>Table1[[#This Row],[Profit]]/Table1[[#This Row],[Sales Amount]]</f>
        <v>0.37552285050348566</v>
      </c>
    </row>
    <row r="130" spans="1:10" x14ac:dyDescent="0.35">
      <c r="A130" s="1">
        <v>45231</v>
      </c>
      <c r="B130" t="s">
        <v>8</v>
      </c>
      <c r="C130" t="s">
        <v>11</v>
      </c>
      <c r="D130" t="s">
        <v>15</v>
      </c>
      <c r="E130">
        <v>2</v>
      </c>
      <c r="F130">
        <v>105.93</v>
      </c>
      <c r="G130">
        <v>112.32</v>
      </c>
      <c r="H130">
        <f>YEAR(Table1[[#This Row],[Order Date]])</f>
        <v>2023</v>
      </c>
      <c r="I130" t="str">
        <f>TEXT(Table1[[#This Row],[Order Date]],"mmmm")</f>
        <v>November</v>
      </c>
      <c r="J130" s="3">
        <f>Table1[[#This Row],[Profit]]/Table1[[#This Row],[Sales Amount]]</f>
        <v>1.060322854715378</v>
      </c>
    </row>
    <row r="131" spans="1:10" x14ac:dyDescent="0.35">
      <c r="A131" s="1">
        <v>45002</v>
      </c>
      <c r="B131" t="s">
        <v>7</v>
      </c>
      <c r="C131" t="s">
        <v>12</v>
      </c>
      <c r="D131" t="s">
        <v>17</v>
      </c>
      <c r="E131">
        <v>1</v>
      </c>
      <c r="F131">
        <v>383.5</v>
      </c>
      <c r="G131">
        <v>90.43</v>
      </c>
      <c r="H131">
        <f>YEAR(Table1[[#This Row],[Order Date]])</f>
        <v>2023</v>
      </c>
      <c r="I131" t="str">
        <f>TEXT(Table1[[#This Row],[Order Date]],"mmmm")</f>
        <v>March</v>
      </c>
      <c r="J131" s="3">
        <f>Table1[[#This Row],[Profit]]/Table1[[#This Row],[Sales Amount]]</f>
        <v>0.23580182529335073</v>
      </c>
    </row>
    <row r="132" spans="1:10" x14ac:dyDescent="0.35">
      <c r="A132" s="1">
        <v>45254</v>
      </c>
      <c r="B132" t="s">
        <v>7</v>
      </c>
      <c r="C132" t="s">
        <v>12</v>
      </c>
      <c r="D132" t="s">
        <v>21</v>
      </c>
      <c r="E132">
        <v>5</v>
      </c>
      <c r="F132">
        <v>140.72999999999999</v>
      </c>
      <c r="G132">
        <v>32.909999999999997</v>
      </c>
      <c r="H132">
        <f>YEAR(Table1[[#This Row],[Order Date]])</f>
        <v>2023</v>
      </c>
      <c r="I132" t="str">
        <f>TEXT(Table1[[#This Row],[Order Date]],"mmmm")</f>
        <v>November</v>
      </c>
      <c r="J132" s="3">
        <f>Table1[[#This Row],[Profit]]/Table1[[#This Row],[Sales Amount]]</f>
        <v>0.23385205713067575</v>
      </c>
    </row>
    <row r="133" spans="1:10" x14ac:dyDescent="0.35">
      <c r="A133" s="1">
        <v>45091</v>
      </c>
      <c r="B133" t="s">
        <v>8</v>
      </c>
      <c r="C133" t="s">
        <v>12</v>
      </c>
      <c r="D133" t="s">
        <v>17</v>
      </c>
      <c r="E133">
        <v>4</v>
      </c>
      <c r="F133">
        <v>192.29</v>
      </c>
      <c r="G133">
        <v>92.36</v>
      </c>
      <c r="H133">
        <f>YEAR(Table1[[#This Row],[Order Date]])</f>
        <v>2023</v>
      </c>
      <c r="I133" t="str">
        <f>TEXT(Table1[[#This Row],[Order Date]],"mmmm")</f>
        <v>June</v>
      </c>
      <c r="J133" s="3">
        <f>Table1[[#This Row],[Profit]]/Table1[[#This Row],[Sales Amount]]</f>
        <v>0.48031618908939622</v>
      </c>
    </row>
    <row r="134" spans="1:10" x14ac:dyDescent="0.35">
      <c r="A134" s="1">
        <v>45222</v>
      </c>
      <c r="B134" t="s">
        <v>9</v>
      </c>
      <c r="C134" t="s">
        <v>13</v>
      </c>
      <c r="D134" t="s">
        <v>19</v>
      </c>
      <c r="E134">
        <v>8</v>
      </c>
      <c r="F134">
        <v>219.62</v>
      </c>
      <c r="G134">
        <v>74.78</v>
      </c>
      <c r="H134">
        <f>YEAR(Table1[[#This Row],[Order Date]])</f>
        <v>2023</v>
      </c>
      <c r="I134" t="str">
        <f>TEXT(Table1[[#This Row],[Order Date]],"mmmm")</f>
        <v>October</v>
      </c>
      <c r="J134" s="3">
        <f>Table1[[#This Row],[Profit]]/Table1[[#This Row],[Sales Amount]]</f>
        <v>0.34049722247518438</v>
      </c>
    </row>
    <row r="135" spans="1:10" x14ac:dyDescent="0.35">
      <c r="A135" s="1">
        <v>45279</v>
      </c>
      <c r="B135" t="s">
        <v>7</v>
      </c>
      <c r="C135" t="s">
        <v>13</v>
      </c>
      <c r="D135" t="s">
        <v>19</v>
      </c>
      <c r="E135">
        <v>1</v>
      </c>
      <c r="F135">
        <v>154.5</v>
      </c>
      <c r="G135">
        <v>135.94</v>
      </c>
      <c r="H135">
        <f>YEAR(Table1[[#This Row],[Order Date]])</f>
        <v>2023</v>
      </c>
      <c r="I135" t="str">
        <f>TEXT(Table1[[#This Row],[Order Date]],"mmmm")</f>
        <v>December</v>
      </c>
      <c r="J135" s="3">
        <f>Table1[[#This Row],[Profit]]/Table1[[#This Row],[Sales Amount]]</f>
        <v>0.87987055016181226</v>
      </c>
    </row>
    <row r="136" spans="1:10" x14ac:dyDescent="0.35">
      <c r="A136" s="1">
        <v>45235</v>
      </c>
      <c r="B136" t="s">
        <v>9</v>
      </c>
      <c r="C136" t="s">
        <v>11</v>
      </c>
      <c r="D136" t="s">
        <v>14</v>
      </c>
      <c r="E136">
        <v>7</v>
      </c>
      <c r="F136">
        <v>102.6</v>
      </c>
      <c r="G136">
        <v>141.58000000000001</v>
      </c>
      <c r="H136">
        <f>YEAR(Table1[[#This Row],[Order Date]])</f>
        <v>2023</v>
      </c>
      <c r="I136" t="str">
        <f>TEXT(Table1[[#This Row],[Order Date]],"mmmm")</f>
        <v>November</v>
      </c>
      <c r="J136" s="3">
        <f>Table1[[#This Row],[Profit]]/Table1[[#This Row],[Sales Amount]]</f>
        <v>1.3799220272904484</v>
      </c>
    </row>
    <row r="137" spans="1:10" x14ac:dyDescent="0.35">
      <c r="A137" s="1">
        <v>45105</v>
      </c>
      <c r="B137" t="s">
        <v>9</v>
      </c>
      <c r="C137" t="s">
        <v>11</v>
      </c>
      <c r="D137" t="s">
        <v>15</v>
      </c>
      <c r="E137">
        <v>4</v>
      </c>
      <c r="F137">
        <v>407.31</v>
      </c>
      <c r="G137">
        <v>96.81</v>
      </c>
      <c r="H137">
        <f>YEAR(Table1[[#This Row],[Order Date]])</f>
        <v>2023</v>
      </c>
      <c r="I137" t="str">
        <f>TEXT(Table1[[#This Row],[Order Date]],"mmmm")</f>
        <v>June</v>
      </c>
      <c r="J137" s="3">
        <f>Table1[[#This Row],[Profit]]/Table1[[#This Row],[Sales Amount]]</f>
        <v>0.23768137291006849</v>
      </c>
    </row>
    <row r="138" spans="1:10" x14ac:dyDescent="0.35">
      <c r="A138" s="1">
        <v>45157</v>
      </c>
      <c r="B138" t="s">
        <v>7</v>
      </c>
      <c r="C138" t="s">
        <v>13</v>
      </c>
      <c r="D138" t="s">
        <v>20</v>
      </c>
      <c r="E138">
        <v>6</v>
      </c>
      <c r="F138">
        <v>388.58</v>
      </c>
      <c r="G138">
        <v>108.98</v>
      </c>
      <c r="H138">
        <f>YEAR(Table1[[#This Row],[Order Date]])</f>
        <v>2023</v>
      </c>
      <c r="I138" t="str">
        <f>TEXT(Table1[[#This Row],[Order Date]],"mmmm")</f>
        <v>August</v>
      </c>
      <c r="J138" s="3">
        <f>Table1[[#This Row],[Profit]]/Table1[[#This Row],[Sales Amount]]</f>
        <v>0.2804570487415719</v>
      </c>
    </row>
    <row r="139" spans="1:10" x14ac:dyDescent="0.35">
      <c r="A139" s="1">
        <v>45215</v>
      </c>
      <c r="B139" t="s">
        <v>10</v>
      </c>
      <c r="C139" t="s">
        <v>11</v>
      </c>
      <c r="D139" t="s">
        <v>15</v>
      </c>
      <c r="E139">
        <v>2</v>
      </c>
      <c r="F139">
        <v>393.11</v>
      </c>
      <c r="G139">
        <v>132.75</v>
      </c>
      <c r="H139">
        <f>YEAR(Table1[[#This Row],[Order Date]])</f>
        <v>2023</v>
      </c>
      <c r="I139" t="str">
        <f>TEXT(Table1[[#This Row],[Order Date]],"mmmm")</f>
        <v>October</v>
      </c>
      <c r="J139" s="3">
        <f>Table1[[#This Row],[Profit]]/Table1[[#This Row],[Sales Amount]]</f>
        <v>0.33769174022538218</v>
      </c>
    </row>
    <row r="140" spans="1:10" x14ac:dyDescent="0.35">
      <c r="A140" s="1">
        <v>45044</v>
      </c>
      <c r="B140" t="s">
        <v>10</v>
      </c>
      <c r="C140" t="s">
        <v>12</v>
      </c>
      <c r="D140" t="s">
        <v>21</v>
      </c>
      <c r="E140">
        <v>4</v>
      </c>
      <c r="F140">
        <v>255.65</v>
      </c>
      <c r="G140">
        <v>94.55</v>
      </c>
      <c r="H140">
        <f>YEAR(Table1[[#This Row],[Order Date]])</f>
        <v>2023</v>
      </c>
      <c r="I140" t="str">
        <f>TEXT(Table1[[#This Row],[Order Date]],"mmmm")</f>
        <v>April</v>
      </c>
      <c r="J140" s="3">
        <f>Table1[[#This Row],[Profit]]/Table1[[#This Row],[Sales Amount]]</f>
        <v>0.36984158028554664</v>
      </c>
    </row>
    <row r="141" spans="1:10" x14ac:dyDescent="0.35">
      <c r="A141" s="1">
        <v>45083</v>
      </c>
      <c r="B141" t="s">
        <v>9</v>
      </c>
      <c r="C141" t="s">
        <v>11</v>
      </c>
      <c r="D141" t="s">
        <v>22</v>
      </c>
      <c r="E141">
        <v>4</v>
      </c>
      <c r="F141">
        <v>375.01</v>
      </c>
      <c r="G141">
        <v>110.81</v>
      </c>
      <c r="H141">
        <f>YEAR(Table1[[#This Row],[Order Date]])</f>
        <v>2023</v>
      </c>
      <c r="I141" t="str">
        <f>TEXT(Table1[[#This Row],[Order Date]],"mmmm")</f>
        <v>June</v>
      </c>
      <c r="J141" s="3">
        <f>Table1[[#This Row],[Profit]]/Table1[[#This Row],[Sales Amount]]</f>
        <v>0.29548545372123414</v>
      </c>
    </row>
    <row r="142" spans="1:10" x14ac:dyDescent="0.35">
      <c r="A142" s="1">
        <v>45041</v>
      </c>
      <c r="B142" t="s">
        <v>7</v>
      </c>
      <c r="C142" t="s">
        <v>11</v>
      </c>
      <c r="D142" t="s">
        <v>15</v>
      </c>
      <c r="E142">
        <v>5</v>
      </c>
      <c r="F142">
        <v>422.06</v>
      </c>
      <c r="G142">
        <v>144.27000000000001</v>
      </c>
      <c r="H142">
        <f>YEAR(Table1[[#This Row],[Order Date]])</f>
        <v>2023</v>
      </c>
      <c r="I142" t="str">
        <f>TEXT(Table1[[#This Row],[Order Date]],"mmmm")</f>
        <v>April</v>
      </c>
      <c r="J142" s="3">
        <f>Table1[[#This Row],[Profit]]/Table1[[#This Row],[Sales Amount]]</f>
        <v>0.34182343742595844</v>
      </c>
    </row>
    <row r="143" spans="1:10" x14ac:dyDescent="0.35">
      <c r="A143" s="1">
        <v>45060</v>
      </c>
      <c r="B143" t="s">
        <v>9</v>
      </c>
      <c r="C143" t="s">
        <v>13</v>
      </c>
      <c r="D143" t="s">
        <v>19</v>
      </c>
      <c r="E143">
        <v>8</v>
      </c>
      <c r="F143">
        <v>277.64999999999998</v>
      </c>
      <c r="G143">
        <v>95.6</v>
      </c>
      <c r="H143">
        <f>YEAR(Table1[[#This Row],[Order Date]])</f>
        <v>2023</v>
      </c>
      <c r="I143" t="str">
        <f>TEXT(Table1[[#This Row],[Order Date]],"mmmm")</f>
        <v>May</v>
      </c>
      <c r="J143" s="3">
        <f>Table1[[#This Row],[Profit]]/Table1[[#This Row],[Sales Amount]]</f>
        <v>0.34431838645777058</v>
      </c>
    </row>
    <row r="144" spans="1:10" x14ac:dyDescent="0.35">
      <c r="A144" s="1">
        <v>45030</v>
      </c>
      <c r="B144" t="s">
        <v>9</v>
      </c>
      <c r="C144" t="s">
        <v>11</v>
      </c>
      <c r="D144" t="s">
        <v>14</v>
      </c>
      <c r="E144">
        <v>4</v>
      </c>
      <c r="F144">
        <v>463.44</v>
      </c>
      <c r="G144">
        <v>120.61</v>
      </c>
      <c r="H144">
        <f>YEAR(Table1[[#This Row],[Order Date]])</f>
        <v>2023</v>
      </c>
      <c r="I144" t="str">
        <f>TEXT(Table1[[#This Row],[Order Date]],"mmmm")</f>
        <v>April</v>
      </c>
      <c r="J144" s="3">
        <f>Table1[[#This Row],[Profit]]/Table1[[#This Row],[Sales Amount]]</f>
        <v>0.26024943897807701</v>
      </c>
    </row>
    <row r="145" spans="1:10" x14ac:dyDescent="0.35">
      <c r="A145" s="1">
        <v>45254</v>
      </c>
      <c r="B145" t="s">
        <v>7</v>
      </c>
      <c r="C145" t="s">
        <v>12</v>
      </c>
      <c r="D145" t="s">
        <v>16</v>
      </c>
      <c r="E145">
        <v>1</v>
      </c>
      <c r="F145">
        <v>309.33</v>
      </c>
      <c r="G145">
        <v>94.94</v>
      </c>
      <c r="H145">
        <f>YEAR(Table1[[#This Row],[Order Date]])</f>
        <v>2023</v>
      </c>
      <c r="I145" t="str">
        <f>TEXT(Table1[[#This Row],[Order Date]],"mmmm")</f>
        <v>November</v>
      </c>
      <c r="J145" s="3">
        <f>Table1[[#This Row],[Profit]]/Table1[[#This Row],[Sales Amount]]</f>
        <v>0.30692141079106455</v>
      </c>
    </row>
    <row r="146" spans="1:10" x14ac:dyDescent="0.35">
      <c r="A146" s="1">
        <v>44977</v>
      </c>
      <c r="B146" t="s">
        <v>8</v>
      </c>
      <c r="C146" t="s">
        <v>13</v>
      </c>
      <c r="D146" t="s">
        <v>18</v>
      </c>
      <c r="E146">
        <v>8</v>
      </c>
      <c r="F146">
        <v>428.2</v>
      </c>
      <c r="G146">
        <v>137.5</v>
      </c>
      <c r="H146">
        <f>YEAR(Table1[[#This Row],[Order Date]])</f>
        <v>2023</v>
      </c>
      <c r="I146" t="str">
        <f>TEXT(Table1[[#This Row],[Order Date]],"mmmm")</f>
        <v>February</v>
      </c>
      <c r="J146" s="3">
        <f>Table1[[#This Row],[Profit]]/Table1[[#This Row],[Sales Amount]]</f>
        <v>0.32111163007940213</v>
      </c>
    </row>
    <row r="147" spans="1:10" x14ac:dyDescent="0.35">
      <c r="A147" s="1">
        <v>45228</v>
      </c>
      <c r="B147" t="s">
        <v>8</v>
      </c>
      <c r="C147" t="s">
        <v>12</v>
      </c>
      <c r="D147" t="s">
        <v>21</v>
      </c>
      <c r="E147">
        <v>4</v>
      </c>
      <c r="F147">
        <v>106.1</v>
      </c>
      <c r="G147">
        <v>138.91999999999999</v>
      </c>
      <c r="H147">
        <f>YEAR(Table1[[#This Row],[Order Date]])</f>
        <v>2023</v>
      </c>
      <c r="I147" t="str">
        <f>TEXT(Table1[[#This Row],[Order Date]],"mmmm")</f>
        <v>October</v>
      </c>
      <c r="J147" s="3">
        <f>Table1[[#This Row],[Profit]]/Table1[[#This Row],[Sales Amount]]</f>
        <v>1.3093308199811498</v>
      </c>
    </row>
    <row r="148" spans="1:10" x14ac:dyDescent="0.35">
      <c r="A148" s="1">
        <v>44981</v>
      </c>
      <c r="B148" t="s">
        <v>7</v>
      </c>
      <c r="C148" t="s">
        <v>11</v>
      </c>
      <c r="D148" t="s">
        <v>14</v>
      </c>
      <c r="E148">
        <v>5</v>
      </c>
      <c r="F148">
        <v>220.69</v>
      </c>
      <c r="G148">
        <v>114.19</v>
      </c>
      <c r="H148">
        <f>YEAR(Table1[[#This Row],[Order Date]])</f>
        <v>2023</v>
      </c>
      <c r="I148" t="str">
        <f>TEXT(Table1[[#This Row],[Order Date]],"mmmm")</f>
        <v>February</v>
      </c>
      <c r="J148" s="3">
        <f>Table1[[#This Row],[Profit]]/Table1[[#This Row],[Sales Amount]]</f>
        <v>0.51742262902714209</v>
      </c>
    </row>
    <row r="149" spans="1:10" x14ac:dyDescent="0.35">
      <c r="A149" s="1">
        <v>45239</v>
      </c>
      <c r="B149" t="s">
        <v>8</v>
      </c>
      <c r="C149" t="s">
        <v>13</v>
      </c>
      <c r="D149" t="s">
        <v>18</v>
      </c>
      <c r="E149">
        <v>9</v>
      </c>
      <c r="F149">
        <v>101.42</v>
      </c>
      <c r="G149">
        <v>68.03</v>
      </c>
      <c r="H149">
        <f>YEAR(Table1[[#This Row],[Order Date]])</f>
        <v>2023</v>
      </c>
      <c r="I149" t="str">
        <f>TEXT(Table1[[#This Row],[Order Date]],"mmmm")</f>
        <v>November</v>
      </c>
      <c r="J149" s="3">
        <f>Table1[[#This Row],[Profit]]/Table1[[#This Row],[Sales Amount]]</f>
        <v>0.67077499507000593</v>
      </c>
    </row>
    <row r="150" spans="1:10" x14ac:dyDescent="0.35">
      <c r="A150" s="1">
        <v>45001</v>
      </c>
      <c r="B150" t="s">
        <v>10</v>
      </c>
      <c r="C150" t="s">
        <v>13</v>
      </c>
      <c r="D150" t="s">
        <v>18</v>
      </c>
      <c r="E150">
        <v>7</v>
      </c>
      <c r="F150">
        <v>206.13</v>
      </c>
      <c r="G150">
        <v>113.25</v>
      </c>
      <c r="H150">
        <f>YEAR(Table1[[#This Row],[Order Date]])</f>
        <v>2023</v>
      </c>
      <c r="I150" t="str">
        <f>TEXT(Table1[[#This Row],[Order Date]],"mmmm")</f>
        <v>March</v>
      </c>
      <c r="J150" s="3">
        <f>Table1[[#This Row],[Profit]]/Table1[[#This Row],[Sales Amount]]</f>
        <v>0.54941056614757677</v>
      </c>
    </row>
    <row r="151" spans="1:10" x14ac:dyDescent="0.35">
      <c r="A151" s="1">
        <v>45054</v>
      </c>
      <c r="B151" t="s">
        <v>7</v>
      </c>
      <c r="C151" t="s">
        <v>12</v>
      </c>
      <c r="D151" t="s">
        <v>17</v>
      </c>
      <c r="E151">
        <v>3</v>
      </c>
      <c r="F151">
        <v>161.69999999999999</v>
      </c>
      <c r="G151">
        <v>90.87</v>
      </c>
      <c r="H151">
        <f>YEAR(Table1[[#This Row],[Order Date]])</f>
        <v>2023</v>
      </c>
      <c r="I151" t="str">
        <f>TEXT(Table1[[#This Row],[Order Date]],"mmmm")</f>
        <v>May</v>
      </c>
      <c r="J151" s="3">
        <f>Table1[[#This Row],[Profit]]/Table1[[#This Row],[Sales Amount]]</f>
        <v>0.56196660482374772</v>
      </c>
    </row>
    <row r="152" spans="1:10" x14ac:dyDescent="0.35">
      <c r="A152" s="1">
        <v>45270</v>
      </c>
      <c r="B152" t="s">
        <v>8</v>
      </c>
      <c r="C152" t="s">
        <v>13</v>
      </c>
      <c r="D152" t="s">
        <v>20</v>
      </c>
      <c r="E152">
        <v>6</v>
      </c>
      <c r="F152">
        <v>149.04</v>
      </c>
      <c r="G152">
        <v>39.78</v>
      </c>
      <c r="H152">
        <f>YEAR(Table1[[#This Row],[Order Date]])</f>
        <v>2023</v>
      </c>
      <c r="I152" t="str">
        <f>TEXT(Table1[[#This Row],[Order Date]],"mmmm")</f>
        <v>December</v>
      </c>
      <c r="J152" s="3">
        <f>Table1[[#This Row],[Profit]]/Table1[[#This Row],[Sales Amount]]</f>
        <v>0.26690821256038649</v>
      </c>
    </row>
    <row r="153" spans="1:10" x14ac:dyDescent="0.35">
      <c r="A153" s="1">
        <v>45263</v>
      </c>
      <c r="B153" t="s">
        <v>9</v>
      </c>
      <c r="C153" t="s">
        <v>12</v>
      </c>
      <c r="D153" t="s">
        <v>21</v>
      </c>
      <c r="E153">
        <v>1</v>
      </c>
      <c r="F153">
        <v>300.79000000000002</v>
      </c>
      <c r="G153">
        <v>130.49</v>
      </c>
      <c r="H153">
        <f>YEAR(Table1[[#This Row],[Order Date]])</f>
        <v>2023</v>
      </c>
      <c r="I153" t="str">
        <f>TEXT(Table1[[#This Row],[Order Date]],"mmmm")</f>
        <v>December</v>
      </c>
      <c r="J153" s="3">
        <f>Table1[[#This Row],[Profit]]/Table1[[#This Row],[Sales Amount]]</f>
        <v>0.43382426277469333</v>
      </c>
    </row>
    <row r="154" spans="1:10" x14ac:dyDescent="0.35">
      <c r="A154" s="1">
        <v>45115</v>
      </c>
      <c r="B154" t="s">
        <v>9</v>
      </c>
      <c r="C154" t="s">
        <v>11</v>
      </c>
      <c r="D154" t="s">
        <v>22</v>
      </c>
      <c r="E154">
        <v>7</v>
      </c>
      <c r="F154">
        <v>317.92</v>
      </c>
      <c r="G154">
        <v>19.39</v>
      </c>
      <c r="H154">
        <f>YEAR(Table1[[#This Row],[Order Date]])</f>
        <v>2023</v>
      </c>
      <c r="I154" t="str">
        <f>TEXT(Table1[[#This Row],[Order Date]],"mmmm")</f>
        <v>July</v>
      </c>
      <c r="J154" s="3">
        <f>Table1[[#This Row],[Profit]]/Table1[[#This Row],[Sales Amount]]</f>
        <v>6.0990186210367385E-2</v>
      </c>
    </row>
    <row r="155" spans="1:10" x14ac:dyDescent="0.35">
      <c r="A155" s="1">
        <v>45137</v>
      </c>
      <c r="B155" t="s">
        <v>10</v>
      </c>
      <c r="C155" t="s">
        <v>11</v>
      </c>
      <c r="D155" t="s">
        <v>15</v>
      </c>
      <c r="E155">
        <v>1</v>
      </c>
      <c r="F155">
        <v>66.45</v>
      </c>
      <c r="G155">
        <v>76.09</v>
      </c>
      <c r="H155">
        <f>YEAR(Table1[[#This Row],[Order Date]])</f>
        <v>2023</v>
      </c>
      <c r="I155" t="str">
        <f>TEXT(Table1[[#This Row],[Order Date]],"mmmm")</f>
        <v>July</v>
      </c>
      <c r="J155" s="3">
        <f>Table1[[#This Row],[Profit]]/Table1[[#This Row],[Sales Amount]]</f>
        <v>1.1450714823175321</v>
      </c>
    </row>
    <row r="156" spans="1:10" x14ac:dyDescent="0.35">
      <c r="A156" s="1">
        <v>44944</v>
      </c>
      <c r="B156" t="s">
        <v>8</v>
      </c>
      <c r="C156" t="s">
        <v>11</v>
      </c>
      <c r="D156" t="s">
        <v>15</v>
      </c>
      <c r="E156">
        <v>3</v>
      </c>
      <c r="F156">
        <v>253.98</v>
      </c>
      <c r="G156">
        <v>83.41</v>
      </c>
      <c r="H156">
        <f>YEAR(Table1[[#This Row],[Order Date]])</f>
        <v>2023</v>
      </c>
      <c r="I156" t="str">
        <f>TEXT(Table1[[#This Row],[Order Date]],"mmmm")</f>
        <v>January</v>
      </c>
      <c r="J156" s="3">
        <f>Table1[[#This Row],[Profit]]/Table1[[#This Row],[Sales Amount]]</f>
        <v>0.32841168595952436</v>
      </c>
    </row>
    <row r="157" spans="1:10" x14ac:dyDescent="0.35">
      <c r="A157" s="1">
        <v>45040</v>
      </c>
      <c r="B157" t="s">
        <v>10</v>
      </c>
      <c r="C157" t="s">
        <v>12</v>
      </c>
      <c r="D157" t="s">
        <v>16</v>
      </c>
      <c r="E157">
        <v>3</v>
      </c>
      <c r="F157">
        <v>119.86</v>
      </c>
      <c r="G157">
        <v>35.47</v>
      </c>
      <c r="H157">
        <f>YEAR(Table1[[#This Row],[Order Date]])</f>
        <v>2023</v>
      </c>
      <c r="I157" t="str">
        <f>TEXT(Table1[[#This Row],[Order Date]],"mmmm")</f>
        <v>April</v>
      </c>
      <c r="J157" s="3">
        <f>Table1[[#This Row],[Profit]]/Table1[[#This Row],[Sales Amount]]</f>
        <v>0.29592858334723843</v>
      </c>
    </row>
    <row r="158" spans="1:10" x14ac:dyDescent="0.35">
      <c r="A158" s="1">
        <v>44981</v>
      </c>
      <c r="B158" t="s">
        <v>7</v>
      </c>
      <c r="C158" t="s">
        <v>12</v>
      </c>
      <c r="D158" t="s">
        <v>17</v>
      </c>
      <c r="E158">
        <v>3</v>
      </c>
      <c r="F158">
        <v>339.8</v>
      </c>
      <c r="G158">
        <v>67.22</v>
      </c>
      <c r="H158">
        <f>YEAR(Table1[[#This Row],[Order Date]])</f>
        <v>2023</v>
      </c>
      <c r="I158" t="str">
        <f>TEXT(Table1[[#This Row],[Order Date]],"mmmm")</f>
        <v>February</v>
      </c>
      <c r="J158" s="3">
        <f>Table1[[#This Row],[Profit]]/Table1[[#This Row],[Sales Amount]]</f>
        <v>0.19782224838140081</v>
      </c>
    </row>
    <row r="159" spans="1:10" x14ac:dyDescent="0.35">
      <c r="A159" s="1">
        <v>44981</v>
      </c>
      <c r="B159" t="s">
        <v>9</v>
      </c>
      <c r="C159" t="s">
        <v>11</v>
      </c>
      <c r="D159" t="s">
        <v>15</v>
      </c>
      <c r="E159">
        <v>7</v>
      </c>
      <c r="F159">
        <v>346.52</v>
      </c>
      <c r="G159">
        <v>13.79</v>
      </c>
      <c r="H159">
        <f>YEAR(Table1[[#This Row],[Order Date]])</f>
        <v>2023</v>
      </c>
      <c r="I159" t="str">
        <f>TEXT(Table1[[#This Row],[Order Date]],"mmmm")</f>
        <v>February</v>
      </c>
      <c r="J159" s="3">
        <f>Table1[[#This Row],[Profit]]/Table1[[#This Row],[Sales Amount]]</f>
        <v>3.9795682788872216E-2</v>
      </c>
    </row>
    <row r="160" spans="1:10" x14ac:dyDescent="0.35">
      <c r="A160" s="1">
        <v>45249</v>
      </c>
      <c r="B160" t="s">
        <v>9</v>
      </c>
      <c r="C160" t="s">
        <v>11</v>
      </c>
      <c r="D160" t="s">
        <v>14</v>
      </c>
      <c r="E160">
        <v>8</v>
      </c>
      <c r="F160">
        <v>96.85</v>
      </c>
      <c r="G160">
        <v>121.99</v>
      </c>
      <c r="H160">
        <f>YEAR(Table1[[#This Row],[Order Date]])</f>
        <v>2023</v>
      </c>
      <c r="I160" t="str">
        <f>TEXT(Table1[[#This Row],[Order Date]],"mmmm")</f>
        <v>November</v>
      </c>
      <c r="J160" s="3">
        <f>Table1[[#This Row],[Profit]]/Table1[[#This Row],[Sales Amount]]</f>
        <v>1.2595766649457925</v>
      </c>
    </row>
    <row r="161" spans="1:10" x14ac:dyDescent="0.35">
      <c r="A161" s="1">
        <v>44977</v>
      </c>
      <c r="B161" t="s">
        <v>8</v>
      </c>
      <c r="C161" t="s">
        <v>11</v>
      </c>
      <c r="D161" t="s">
        <v>14</v>
      </c>
      <c r="E161">
        <v>8</v>
      </c>
      <c r="F161">
        <v>94.75</v>
      </c>
      <c r="G161">
        <v>44.04</v>
      </c>
      <c r="H161">
        <f>YEAR(Table1[[#This Row],[Order Date]])</f>
        <v>2023</v>
      </c>
      <c r="I161" t="str">
        <f>TEXT(Table1[[#This Row],[Order Date]],"mmmm")</f>
        <v>February</v>
      </c>
      <c r="J161" s="3">
        <f>Table1[[#This Row],[Profit]]/Table1[[#This Row],[Sales Amount]]</f>
        <v>0.46480211081794193</v>
      </c>
    </row>
    <row r="162" spans="1:10" x14ac:dyDescent="0.35">
      <c r="A162" s="1">
        <v>45214</v>
      </c>
      <c r="B162" t="s">
        <v>9</v>
      </c>
      <c r="C162" t="s">
        <v>13</v>
      </c>
      <c r="D162" t="s">
        <v>18</v>
      </c>
      <c r="E162">
        <v>4</v>
      </c>
      <c r="F162">
        <v>474.98</v>
      </c>
      <c r="G162">
        <v>29.75</v>
      </c>
      <c r="H162">
        <f>YEAR(Table1[[#This Row],[Order Date]])</f>
        <v>2023</v>
      </c>
      <c r="I162" t="str">
        <f>TEXT(Table1[[#This Row],[Order Date]],"mmmm")</f>
        <v>October</v>
      </c>
      <c r="J162" s="3">
        <f>Table1[[#This Row],[Profit]]/Table1[[#This Row],[Sales Amount]]</f>
        <v>6.2634216177523266E-2</v>
      </c>
    </row>
    <row r="163" spans="1:10" x14ac:dyDescent="0.35">
      <c r="A163" s="1">
        <v>45149</v>
      </c>
      <c r="B163" t="s">
        <v>7</v>
      </c>
      <c r="C163" t="s">
        <v>13</v>
      </c>
      <c r="D163" t="s">
        <v>18</v>
      </c>
      <c r="E163">
        <v>7</v>
      </c>
      <c r="F163">
        <v>334.96</v>
      </c>
      <c r="G163">
        <v>113.03</v>
      </c>
      <c r="H163">
        <f>YEAR(Table1[[#This Row],[Order Date]])</f>
        <v>2023</v>
      </c>
      <c r="I163" t="str">
        <f>TEXT(Table1[[#This Row],[Order Date]],"mmmm")</f>
        <v>August</v>
      </c>
      <c r="J163" s="3">
        <f>Table1[[#This Row],[Profit]]/Table1[[#This Row],[Sales Amount]]</f>
        <v>0.33744327680917124</v>
      </c>
    </row>
    <row r="164" spans="1:10" x14ac:dyDescent="0.35">
      <c r="A164" s="1">
        <v>45073</v>
      </c>
      <c r="B164" t="s">
        <v>9</v>
      </c>
      <c r="C164" t="s">
        <v>12</v>
      </c>
      <c r="D164" t="s">
        <v>21</v>
      </c>
      <c r="E164">
        <v>3</v>
      </c>
      <c r="F164">
        <v>312.37</v>
      </c>
      <c r="G164">
        <v>69</v>
      </c>
      <c r="H164">
        <f>YEAR(Table1[[#This Row],[Order Date]])</f>
        <v>2023</v>
      </c>
      <c r="I164" t="str">
        <f>TEXT(Table1[[#This Row],[Order Date]],"mmmm")</f>
        <v>May</v>
      </c>
      <c r="J164" s="3">
        <f>Table1[[#This Row],[Profit]]/Table1[[#This Row],[Sales Amount]]</f>
        <v>0.22089189102666709</v>
      </c>
    </row>
    <row r="165" spans="1:10" x14ac:dyDescent="0.35">
      <c r="A165" s="1">
        <v>45229</v>
      </c>
      <c r="B165" t="s">
        <v>8</v>
      </c>
      <c r="C165" t="s">
        <v>13</v>
      </c>
      <c r="D165" t="s">
        <v>19</v>
      </c>
      <c r="E165">
        <v>2</v>
      </c>
      <c r="F165">
        <v>213.38</v>
      </c>
      <c r="G165">
        <v>14.79</v>
      </c>
      <c r="H165">
        <f>YEAR(Table1[[#This Row],[Order Date]])</f>
        <v>2023</v>
      </c>
      <c r="I165" t="str">
        <f>TEXT(Table1[[#This Row],[Order Date]],"mmmm")</f>
        <v>October</v>
      </c>
      <c r="J165" s="3">
        <f>Table1[[#This Row],[Profit]]/Table1[[#This Row],[Sales Amount]]</f>
        <v>6.9312962789389823E-2</v>
      </c>
    </row>
    <row r="166" spans="1:10" x14ac:dyDescent="0.35">
      <c r="A166" s="1">
        <v>45219</v>
      </c>
      <c r="B166" t="s">
        <v>10</v>
      </c>
      <c r="C166" t="s">
        <v>12</v>
      </c>
      <c r="D166" t="s">
        <v>16</v>
      </c>
      <c r="E166">
        <v>9</v>
      </c>
      <c r="F166">
        <v>246.26</v>
      </c>
      <c r="G166">
        <v>51.23</v>
      </c>
      <c r="H166">
        <f>YEAR(Table1[[#This Row],[Order Date]])</f>
        <v>2023</v>
      </c>
      <c r="I166" t="str">
        <f>TEXT(Table1[[#This Row],[Order Date]],"mmmm")</f>
        <v>October</v>
      </c>
      <c r="J166" s="3">
        <f>Table1[[#This Row],[Profit]]/Table1[[#This Row],[Sales Amount]]</f>
        <v>0.20803216113051246</v>
      </c>
    </row>
    <row r="167" spans="1:10" x14ac:dyDescent="0.35">
      <c r="A167" s="1">
        <v>45268</v>
      </c>
      <c r="B167" t="s">
        <v>9</v>
      </c>
      <c r="C167" t="s">
        <v>13</v>
      </c>
      <c r="D167" t="s">
        <v>20</v>
      </c>
      <c r="E167">
        <v>8</v>
      </c>
      <c r="F167">
        <v>493.42</v>
      </c>
      <c r="G167">
        <v>75.95</v>
      </c>
      <c r="H167">
        <f>YEAR(Table1[[#This Row],[Order Date]])</f>
        <v>2023</v>
      </c>
      <c r="I167" t="str">
        <f>TEXT(Table1[[#This Row],[Order Date]],"mmmm")</f>
        <v>December</v>
      </c>
      <c r="J167" s="3">
        <f>Table1[[#This Row],[Profit]]/Table1[[#This Row],[Sales Amount]]</f>
        <v>0.15392566170807831</v>
      </c>
    </row>
    <row r="168" spans="1:10" x14ac:dyDescent="0.35">
      <c r="A168" s="1">
        <v>45041</v>
      </c>
      <c r="B168" t="s">
        <v>8</v>
      </c>
      <c r="C168" t="s">
        <v>12</v>
      </c>
      <c r="D168" t="s">
        <v>16</v>
      </c>
      <c r="E168">
        <v>9</v>
      </c>
      <c r="F168">
        <v>293.74</v>
      </c>
      <c r="G168">
        <v>98.69</v>
      </c>
      <c r="H168">
        <f>YEAR(Table1[[#This Row],[Order Date]])</f>
        <v>2023</v>
      </c>
      <c r="I168" t="str">
        <f>TEXT(Table1[[#This Row],[Order Date]],"mmmm")</f>
        <v>April</v>
      </c>
      <c r="J168" s="3">
        <f>Table1[[#This Row],[Profit]]/Table1[[#This Row],[Sales Amount]]</f>
        <v>0.33597739497514806</v>
      </c>
    </row>
    <row r="169" spans="1:10" x14ac:dyDescent="0.35">
      <c r="A169" s="1">
        <v>45127</v>
      </c>
      <c r="B169" t="s">
        <v>10</v>
      </c>
      <c r="C169" t="s">
        <v>11</v>
      </c>
      <c r="D169" t="s">
        <v>15</v>
      </c>
      <c r="E169">
        <v>4</v>
      </c>
      <c r="F169">
        <v>109.52</v>
      </c>
      <c r="G169">
        <v>136.08000000000001</v>
      </c>
      <c r="H169">
        <f>YEAR(Table1[[#This Row],[Order Date]])</f>
        <v>2023</v>
      </c>
      <c r="I169" t="str">
        <f>TEXT(Table1[[#This Row],[Order Date]],"mmmm")</f>
        <v>July</v>
      </c>
      <c r="J169" s="3">
        <f>Table1[[#This Row],[Profit]]/Table1[[#This Row],[Sales Amount]]</f>
        <v>1.2425127830533238</v>
      </c>
    </row>
    <row r="170" spans="1:10" x14ac:dyDescent="0.35">
      <c r="A170" s="1">
        <v>45141</v>
      </c>
      <c r="B170" t="s">
        <v>8</v>
      </c>
      <c r="C170" t="s">
        <v>13</v>
      </c>
      <c r="D170" t="s">
        <v>19</v>
      </c>
      <c r="E170">
        <v>6</v>
      </c>
      <c r="F170">
        <v>461.43</v>
      </c>
      <c r="G170">
        <v>26.49</v>
      </c>
      <c r="H170">
        <f>YEAR(Table1[[#This Row],[Order Date]])</f>
        <v>2023</v>
      </c>
      <c r="I170" t="str">
        <f>TEXT(Table1[[#This Row],[Order Date]],"mmmm")</f>
        <v>August</v>
      </c>
      <c r="J170" s="3">
        <f>Table1[[#This Row],[Profit]]/Table1[[#This Row],[Sales Amount]]</f>
        <v>5.7408490995383914E-2</v>
      </c>
    </row>
    <row r="171" spans="1:10" x14ac:dyDescent="0.35">
      <c r="A171" s="1">
        <v>44960</v>
      </c>
      <c r="B171" t="s">
        <v>8</v>
      </c>
      <c r="C171" t="s">
        <v>12</v>
      </c>
      <c r="D171" t="s">
        <v>21</v>
      </c>
      <c r="E171">
        <v>9</v>
      </c>
      <c r="F171">
        <v>273.86</v>
      </c>
      <c r="G171">
        <v>110.83</v>
      </c>
      <c r="H171">
        <f>YEAR(Table1[[#This Row],[Order Date]])</f>
        <v>2023</v>
      </c>
      <c r="I171" t="str">
        <f>TEXT(Table1[[#This Row],[Order Date]],"mmmm")</f>
        <v>February</v>
      </c>
      <c r="J171" s="3">
        <f>Table1[[#This Row],[Profit]]/Table1[[#This Row],[Sales Amount]]</f>
        <v>0.40469582998612424</v>
      </c>
    </row>
    <row r="172" spans="1:10" x14ac:dyDescent="0.35">
      <c r="A172" s="1">
        <v>45288</v>
      </c>
      <c r="B172" t="s">
        <v>10</v>
      </c>
      <c r="C172" t="s">
        <v>12</v>
      </c>
      <c r="D172" t="s">
        <v>21</v>
      </c>
      <c r="E172">
        <v>9</v>
      </c>
      <c r="F172">
        <v>169.92</v>
      </c>
      <c r="G172">
        <v>112.51</v>
      </c>
      <c r="H172">
        <f>YEAR(Table1[[#This Row],[Order Date]])</f>
        <v>2023</v>
      </c>
      <c r="I172" t="str">
        <f>TEXT(Table1[[#This Row],[Order Date]],"mmmm")</f>
        <v>December</v>
      </c>
      <c r="J172" s="3">
        <f>Table1[[#This Row],[Profit]]/Table1[[#This Row],[Sales Amount]]</f>
        <v>0.66213512241054617</v>
      </c>
    </row>
    <row r="173" spans="1:10" x14ac:dyDescent="0.35">
      <c r="A173" s="1">
        <v>45194</v>
      </c>
      <c r="B173" t="s">
        <v>8</v>
      </c>
      <c r="C173" t="s">
        <v>13</v>
      </c>
      <c r="D173" t="s">
        <v>20</v>
      </c>
      <c r="E173">
        <v>5</v>
      </c>
      <c r="F173">
        <v>128.91999999999999</v>
      </c>
      <c r="G173">
        <v>138.02000000000001</v>
      </c>
      <c r="H173">
        <f>YEAR(Table1[[#This Row],[Order Date]])</f>
        <v>2023</v>
      </c>
      <c r="I173" t="str">
        <f>TEXT(Table1[[#This Row],[Order Date]],"mmmm")</f>
        <v>September</v>
      </c>
      <c r="J173" s="3">
        <f>Table1[[#This Row],[Profit]]/Table1[[#This Row],[Sales Amount]]</f>
        <v>1.0705864101768541</v>
      </c>
    </row>
    <row r="174" spans="1:10" x14ac:dyDescent="0.35">
      <c r="A174" s="1">
        <v>45116</v>
      </c>
      <c r="B174" t="s">
        <v>10</v>
      </c>
      <c r="C174" t="s">
        <v>13</v>
      </c>
      <c r="D174" t="s">
        <v>18</v>
      </c>
      <c r="E174">
        <v>2</v>
      </c>
      <c r="F174">
        <v>124.83</v>
      </c>
      <c r="G174">
        <v>113.32</v>
      </c>
      <c r="H174">
        <f>YEAR(Table1[[#This Row],[Order Date]])</f>
        <v>2023</v>
      </c>
      <c r="I174" t="str">
        <f>TEXT(Table1[[#This Row],[Order Date]],"mmmm")</f>
        <v>July</v>
      </c>
      <c r="J174" s="3">
        <f>Table1[[#This Row],[Profit]]/Table1[[#This Row],[Sales Amount]]</f>
        <v>0.90779460065689332</v>
      </c>
    </row>
    <row r="175" spans="1:10" x14ac:dyDescent="0.35">
      <c r="A175" s="1">
        <v>45107</v>
      </c>
      <c r="B175" t="s">
        <v>9</v>
      </c>
      <c r="C175" t="s">
        <v>11</v>
      </c>
      <c r="D175" t="s">
        <v>14</v>
      </c>
      <c r="E175">
        <v>5</v>
      </c>
      <c r="F175">
        <v>426.69</v>
      </c>
      <c r="G175">
        <v>71.209999999999994</v>
      </c>
      <c r="H175">
        <f>YEAR(Table1[[#This Row],[Order Date]])</f>
        <v>2023</v>
      </c>
      <c r="I175" t="str">
        <f>TEXT(Table1[[#This Row],[Order Date]],"mmmm")</f>
        <v>June</v>
      </c>
      <c r="J175" s="3">
        <f>Table1[[#This Row],[Profit]]/Table1[[#This Row],[Sales Amount]]</f>
        <v>0.16688931074081884</v>
      </c>
    </row>
    <row r="176" spans="1:10" x14ac:dyDescent="0.35">
      <c r="A176" s="1">
        <v>45113</v>
      </c>
      <c r="B176" t="s">
        <v>7</v>
      </c>
      <c r="C176" t="s">
        <v>12</v>
      </c>
      <c r="D176" t="s">
        <v>17</v>
      </c>
      <c r="E176">
        <v>6</v>
      </c>
      <c r="F176">
        <v>264.22000000000003</v>
      </c>
      <c r="G176">
        <v>102.91</v>
      </c>
      <c r="H176">
        <f>YEAR(Table1[[#This Row],[Order Date]])</f>
        <v>2023</v>
      </c>
      <c r="I176" t="str">
        <f>TEXT(Table1[[#This Row],[Order Date]],"mmmm")</f>
        <v>July</v>
      </c>
      <c r="J176" s="3">
        <f>Table1[[#This Row],[Profit]]/Table1[[#This Row],[Sales Amount]]</f>
        <v>0.3894860343653016</v>
      </c>
    </row>
    <row r="177" spans="1:10" x14ac:dyDescent="0.35">
      <c r="A177" s="1">
        <v>44995</v>
      </c>
      <c r="B177" t="s">
        <v>9</v>
      </c>
      <c r="C177" t="s">
        <v>13</v>
      </c>
      <c r="D177" t="s">
        <v>20</v>
      </c>
      <c r="E177">
        <v>4</v>
      </c>
      <c r="F177">
        <v>292.93</v>
      </c>
      <c r="G177">
        <v>32.68</v>
      </c>
      <c r="H177">
        <f>YEAR(Table1[[#This Row],[Order Date]])</f>
        <v>2023</v>
      </c>
      <c r="I177" t="str">
        <f>TEXT(Table1[[#This Row],[Order Date]],"mmmm")</f>
        <v>March</v>
      </c>
      <c r="J177" s="3">
        <f>Table1[[#This Row],[Profit]]/Table1[[#This Row],[Sales Amount]]</f>
        <v>0.1115624893319223</v>
      </c>
    </row>
    <row r="178" spans="1:10" x14ac:dyDescent="0.35">
      <c r="A178" s="1">
        <v>45263</v>
      </c>
      <c r="B178" t="s">
        <v>10</v>
      </c>
      <c r="C178" t="s">
        <v>11</v>
      </c>
      <c r="D178" t="s">
        <v>14</v>
      </c>
      <c r="E178">
        <v>2</v>
      </c>
      <c r="F178">
        <v>330.5</v>
      </c>
      <c r="G178">
        <v>76.39</v>
      </c>
      <c r="H178">
        <f>YEAR(Table1[[#This Row],[Order Date]])</f>
        <v>2023</v>
      </c>
      <c r="I178" t="str">
        <f>TEXT(Table1[[#This Row],[Order Date]],"mmmm")</f>
        <v>December</v>
      </c>
      <c r="J178" s="3">
        <f>Table1[[#This Row],[Profit]]/Table1[[#This Row],[Sales Amount]]</f>
        <v>0.23113464447806353</v>
      </c>
    </row>
    <row r="179" spans="1:10" x14ac:dyDescent="0.35">
      <c r="A179" s="1">
        <v>45127</v>
      </c>
      <c r="B179" t="s">
        <v>9</v>
      </c>
      <c r="C179" t="s">
        <v>12</v>
      </c>
      <c r="D179" t="s">
        <v>21</v>
      </c>
      <c r="E179">
        <v>1</v>
      </c>
      <c r="F179">
        <v>272.97000000000003</v>
      </c>
      <c r="G179">
        <v>106.38</v>
      </c>
      <c r="H179">
        <f>YEAR(Table1[[#This Row],[Order Date]])</f>
        <v>2023</v>
      </c>
      <c r="I179" t="str">
        <f>TEXT(Table1[[#This Row],[Order Date]],"mmmm")</f>
        <v>July</v>
      </c>
      <c r="J179" s="3">
        <f>Table1[[#This Row],[Profit]]/Table1[[#This Row],[Sales Amount]]</f>
        <v>0.38971315529179024</v>
      </c>
    </row>
    <row r="180" spans="1:10" x14ac:dyDescent="0.35">
      <c r="A180" s="1">
        <v>44951</v>
      </c>
      <c r="B180" t="s">
        <v>7</v>
      </c>
      <c r="C180" t="s">
        <v>13</v>
      </c>
      <c r="D180" t="s">
        <v>19</v>
      </c>
      <c r="E180">
        <v>3</v>
      </c>
      <c r="F180">
        <v>84.99</v>
      </c>
      <c r="G180">
        <v>10.33</v>
      </c>
      <c r="H180">
        <f>YEAR(Table1[[#This Row],[Order Date]])</f>
        <v>2023</v>
      </c>
      <c r="I180" t="str">
        <f>TEXT(Table1[[#This Row],[Order Date]],"mmmm")</f>
        <v>January</v>
      </c>
      <c r="J180" s="3">
        <f>Table1[[#This Row],[Profit]]/Table1[[#This Row],[Sales Amount]]</f>
        <v>0.12154371102482646</v>
      </c>
    </row>
    <row r="181" spans="1:10" x14ac:dyDescent="0.35">
      <c r="A181" s="1">
        <v>45028</v>
      </c>
      <c r="B181" t="s">
        <v>10</v>
      </c>
      <c r="C181" t="s">
        <v>11</v>
      </c>
      <c r="D181" t="s">
        <v>14</v>
      </c>
      <c r="E181">
        <v>5</v>
      </c>
      <c r="F181">
        <v>91.21</v>
      </c>
      <c r="G181">
        <v>138.41999999999999</v>
      </c>
      <c r="H181">
        <f>YEAR(Table1[[#This Row],[Order Date]])</f>
        <v>2023</v>
      </c>
      <c r="I181" t="str">
        <f>TEXT(Table1[[#This Row],[Order Date]],"mmmm")</f>
        <v>April</v>
      </c>
      <c r="J181" s="3">
        <f>Table1[[#This Row],[Profit]]/Table1[[#This Row],[Sales Amount]]</f>
        <v>1.5175967547418046</v>
      </c>
    </row>
    <row r="182" spans="1:10" x14ac:dyDescent="0.35">
      <c r="A182" s="1">
        <v>44943</v>
      </c>
      <c r="B182" t="s">
        <v>10</v>
      </c>
      <c r="C182" t="s">
        <v>12</v>
      </c>
      <c r="D182" t="s">
        <v>21</v>
      </c>
      <c r="E182">
        <v>7</v>
      </c>
      <c r="F182">
        <v>284.58999999999997</v>
      </c>
      <c r="G182">
        <v>22.14</v>
      </c>
      <c r="H182">
        <f>YEAR(Table1[[#This Row],[Order Date]])</f>
        <v>2023</v>
      </c>
      <c r="I182" t="str">
        <f>TEXT(Table1[[#This Row],[Order Date]],"mmmm")</f>
        <v>January</v>
      </c>
      <c r="J182" s="3">
        <f>Table1[[#This Row],[Profit]]/Table1[[#This Row],[Sales Amount]]</f>
        <v>7.7796127762746414E-2</v>
      </c>
    </row>
    <row r="183" spans="1:10" x14ac:dyDescent="0.35">
      <c r="A183" s="1">
        <v>45190</v>
      </c>
      <c r="B183" t="s">
        <v>7</v>
      </c>
      <c r="C183" t="s">
        <v>11</v>
      </c>
      <c r="D183" t="s">
        <v>22</v>
      </c>
      <c r="E183">
        <v>1</v>
      </c>
      <c r="F183">
        <v>346.45</v>
      </c>
      <c r="G183">
        <v>106.92</v>
      </c>
      <c r="H183">
        <f>YEAR(Table1[[#This Row],[Order Date]])</f>
        <v>2023</v>
      </c>
      <c r="I183" t="str">
        <f>TEXT(Table1[[#This Row],[Order Date]],"mmmm")</f>
        <v>September</v>
      </c>
      <c r="J183" s="3">
        <f>Table1[[#This Row],[Profit]]/Table1[[#This Row],[Sales Amount]]</f>
        <v>0.30861596189926399</v>
      </c>
    </row>
    <row r="184" spans="1:10" x14ac:dyDescent="0.35">
      <c r="A184" s="1">
        <v>45126</v>
      </c>
      <c r="B184" t="s">
        <v>8</v>
      </c>
      <c r="C184" t="s">
        <v>13</v>
      </c>
      <c r="D184" t="s">
        <v>18</v>
      </c>
      <c r="E184">
        <v>9</v>
      </c>
      <c r="F184">
        <v>341</v>
      </c>
      <c r="G184">
        <v>107.04</v>
      </c>
      <c r="H184">
        <f>YEAR(Table1[[#This Row],[Order Date]])</f>
        <v>2023</v>
      </c>
      <c r="I184" t="str">
        <f>TEXT(Table1[[#This Row],[Order Date]],"mmmm")</f>
        <v>July</v>
      </c>
      <c r="J184" s="3">
        <f>Table1[[#This Row],[Profit]]/Table1[[#This Row],[Sales Amount]]</f>
        <v>0.31390029325513197</v>
      </c>
    </row>
    <row r="185" spans="1:10" x14ac:dyDescent="0.35">
      <c r="A185" s="1">
        <v>45291</v>
      </c>
      <c r="B185" t="s">
        <v>10</v>
      </c>
      <c r="C185" t="s">
        <v>12</v>
      </c>
      <c r="D185" t="s">
        <v>17</v>
      </c>
      <c r="E185">
        <v>7</v>
      </c>
      <c r="F185">
        <v>499.71</v>
      </c>
      <c r="G185">
        <v>87.81</v>
      </c>
      <c r="H185">
        <f>YEAR(Table1[[#This Row],[Order Date]])</f>
        <v>2023</v>
      </c>
      <c r="I185" t="str">
        <f>TEXT(Table1[[#This Row],[Order Date]],"mmmm")</f>
        <v>December</v>
      </c>
      <c r="J185" s="3">
        <f>Table1[[#This Row],[Profit]]/Table1[[#This Row],[Sales Amount]]</f>
        <v>0.17572191871285348</v>
      </c>
    </row>
    <row r="186" spans="1:10" x14ac:dyDescent="0.35">
      <c r="A186" s="1">
        <v>45176</v>
      </c>
      <c r="B186" t="s">
        <v>7</v>
      </c>
      <c r="C186" t="s">
        <v>13</v>
      </c>
      <c r="D186" t="s">
        <v>18</v>
      </c>
      <c r="E186">
        <v>5</v>
      </c>
      <c r="F186">
        <v>378.96</v>
      </c>
      <c r="G186">
        <v>36.96</v>
      </c>
      <c r="H186">
        <f>YEAR(Table1[[#This Row],[Order Date]])</f>
        <v>2023</v>
      </c>
      <c r="I186" t="str">
        <f>TEXT(Table1[[#This Row],[Order Date]],"mmmm")</f>
        <v>September</v>
      </c>
      <c r="J186" s="3">
        <f>Table1[[#This Row],[Profit]]/Table1[[#This Row],[Sales Amount]]</f>
        <v>9.7530082330588991E-2</v>
      </c>
    </row>
    <row r="187" spans="1:10" x14ac:dyDescent="0.35">
      <c r="A187" s="1">
        <v>45241</v>
      </c>
      <c r="B187" t="s">
        <v>7</v>
      </c>
      <c r="C187" t="s">
        <v>13</v>
      </c>
      <c r="D187" t="s">
        <v>20</v>
      </c>
      <c r="E187">
        <v>2</v>
      </c>
      <c r="F187">
        <v>385.28</v>
      </c>
      <c r="G187">
        <v>17.68</v>
      </c>
      <c r="H187">
        <f>YEAR(Table1[[#This Row],[Order Date]])</f>
        <v>2023</v>
      </c>
      <c r="I187" t="str">
        <f>TEXT(Table1[[#This Row],[Order Date]],"mmmm")</f>
        <v>November</v>
      </c>
      <c r="J187" s="3">
        <f>Table1[[#This Row],[Profit]]/Table1[[#This Row],[Sales Amount]]</f>
        <v>4.5888704318936879E-2</v>
      </c>
    </row>
    <row r="188" spans="1:10" x14ac:dyDescent="0.35">
      <c r="A188" s="1">
        <v>45029</v>
      </c>
      <c r="B188" t="s">
        <v>8</v>
      </c>
      <c r="C188" t="s">
        <v>11</v>
      </c>
      <c r="D188" t="s">
        <v>15</v>
      </c>
      <c r="E188">
        <v>8</v>
      </c>
      <c r="F188">
        <v>153.5</v>
      </c>
      <c r="G188">
        <v>26.88</v>
      </c>
      <c r="H188">
        <f>YEAR(Table1[[#This Row],[Order Date]])</f>
        <v>2023</v>
      </c>
      <c r="I188" t="str">
        <f>TEXT(Table1[[#This Row],[Order Date]],"mmmm")</f>
        <v>April</v>
      </c>
      <c r="J188" s="3">
        <f>Table1[[#This Row],[Profit]]/Table1[[#This Row],[Sales Amount]]</f>
        <v>0.17511400651465797</v>
      </c>
    </row>
    <row r="189" spans="1:10" x14ac:dyDescent="0.35">
      <c r="A189" s="1">
        <v>45057</v>
      </c>
      <c r="B189" t="s">
        <v>8</v>
      </c>
      <c r="C189" t="s">
        <v>13</v>
      </c>
      <c r="D189" t="s">
        <v>19</v>
      </c>
      <c r="E189">
        <v>8</v>
      </c>
      <c r="F189">
        <v>248.46</v>
      </c>
      <c r="G189">
        <v>66.63</v>
      </c>
      <c r="H189">
        <f>YEAR(Table1[[#This Row],[Order Date]])</f>
        <v>2023</v>
      </c>
      <c r="I189" t="str">
        <f>TEXT(Table1[[#This Row],[Order Date]],"mmmm")</f>
        <v>May</v>
      </c>
      <c r="J189" s="3">
        <f>Table1[[#This Row],[Profit]]/Table1[[#This Row],[Sales Amount]]</f>
        <v>0.26817193914513399</v>
      </c>
    </row>
    <row r="190" spans="1:10" x14ac:dyDescent="0.35">
      <c r="A190" s="1">
        <v>44941</v>
      </c>
      <c r="B190" t="s">
        <v>9</v>
      </c>
      <c r="C190" t="s">
        <v>11</v>
      </c>
      <c r="D190" t="s">
        <v>22</v>
      </c>
      <c r="E190">
        <v>4</v>
      </c>
      <c r="F190">
        <v>405.83</v>
      </c>
      <c r="G190">
        <v>54.63</v>
      </c>
      <c r="H190">
        <f>YEAR(Table1[[#This Row],[Order Date]])</f>
        <v>2023</v>
      </c>
      <c r="I190" t="str">
        <f>TEXT(Table1[[#This Row],[Order Date]],"mmmm")</f>
        <v>January</v>
      </c>
      <c r="J190" s="3">
        <f>Table1[[#This Row],[Profit]]/Table1[[#This Row],[Sales Amount]]</f>
        <v>0.13461301530197375</v>
      </c>
    </row>
    <row r="191" spans="1:10" x14ac:dyDescent="0.35">
      <c r="A191" s="1">
        <v>45087</v>
      </c>
      <c r="B191" t="s">
        <v>9</v>
      </c>
      <c r="C191" t="s">
        <v>13</v>
      </c>
      <c r="D191" t="s">
        <v>20</v>
      </c>
      <c r="E191">
        <v>2</v>
      </c>
      <c r="F191">
        <v>60.98</v>
      </c>
      <c r="G191">
        <v>131.81</v>
      </c>
      <c r="H191">
        <f>YEAR(Table1[[#This Row],[Order Date]])</f>
        <v>2023</v>
      </c>
      <c r="I191" t="str">
        <f>TEXT(Table1[[#This Row],[Order Date]],"mmmm")</f>
        <v>June</v>
      </c>
      <c r="J191" s="3">
        <f>Table1[[#This Row],[Profit]]/Table1[[#This Row],[Sales Amount]]</f>
        <v>2.1615283699573631</v>
      </c>
    </row>
    <row r="192" spans="1:10" x14ac:dyDescent="0.35">
      <c r="A192" s="1">
        <v>45177</v>
      </c>
      <c r="B192" t="s">
        <v>7</v>
      </c>
      <c r="C192" t="s">
        <v>13</v>
      </c>
      <c r="D192" t="s">
        <v>20</v>
      </c>
      <c r="E192">
        <v>2</v>
      </c>
      <c r="F192">
        <v>472.58</v>
      </c>
      <c r="G192">
        <v>121.83</v>
      </c>
      <c r="H192">
        <f>YEAR(Table1[[#This Row],[Order Date]])</f>
        <v>2023</v>
      </c>
      <c r="I192" t="str">
        <f>TEXT(Table1[[#This Row],[Order Date]],"mmmm")</f>
        <v>September</v>
      </c>
      <c r="J192" s="3">
        <f>Table1[[#This Row],[Profit]]/Table1[[#This Row],[Sales Amount]]</f>
        <v>0.25779762156671887</v>
      </c>
    </row>
    <row r="193" spans="1:10" x14ac:dyDescent="0.35">
      <c r="A193" s="1">
        <v>45228</v>
      </c>
      <c r="B193" t="s">
        <v>9</v>
      </c>
      <c r="C193" t="s">
        <v>11</v>
      </c>
      <c r="D193" t="s">
        <v>22</v>
      </c>
      <c r="E193">
        <v>1</v>
      </c>
      <c r="F193">
        <v>230.87</v>
      </c>
      <c r="G193">
        <v>77.180000000000007</v>
      </c>
      <c r="H193">
        <f>YEAR(Table1[[#This Row],[Order Date]])</f>
        <v>2023</v>
      </c>
      <c r="I193" t="str">
        <f>TEXT(Table1[[#This Row],[Order Date]],"mmmm")</f>
        <v>October</v>
      </c>
      <c r="J193" s="3">
        <f>Table1[[#This Row],[Profit]]/Table1[[#This Row],[Sales Amount]]</f>
        <v>0.33430068869926799</v>
      </c>
    </row>
    <row r="194" spans="1:10" x14ac:dyDescent="0.35">
      <c r="A194" s="1">
        <v>45198</v>
      </c>
      <c r="B194" t="s">
        <v>9</v>
      </c>
      <c r="C194" t="s">
        <v>12</v>
      </c>
      <c r="D194" t="s">
        <v>17</v>
      </c>
      <c r="E194">
        <v>9</v>
      </c>
      <c r="F194">
        <v>395.72</v>
      </c>
      <c r="G194">
        <v>68.489999999999995</v>
      </c>
      <c r="H194">
        <f>YEAR(Table1[[#This Row],[Order Date]])</f>
        <v>2023</v>
      </c>
      <c r="I194" t="str">
        <f>TEXT(Table1[[#This Row],[Order Date]],"mmmm")</f>
        <v>September</v>
      </c>
      <c r="J194" s="3">
        <f>Table1[[#This Row],[Profit]]/Table1[[#This Row],[Sales Amount]]</f>
        <v>0.17307692307692304</v>
      </c>
    </row>
    <row r="195" spans="1:10" x14ac:dyDescent="0.35">
      <c r="A195" s="1">
        <v>45266</v>
      </c>
      <c r="B195" t="s">
        <v>8</v>
      </c>
      <c r="C195" t="s">
        <v>11</v>
      </c>
      <c r="D195" t="s">
        <v>22</v>
      </c>
      <c r="E195">
        <v>1</v>
      </c>
      <c r="F195">
        <v>99.71</v>
      </c>
      <c r="G195">
        <v>59.65</v>
      </c>
      <c r="H195">
        <f>YEAR(Table1[[#This Row],[Order Date]])</f>
        <v>2023</v>
      </c>
      <c r="I195" t="str">
        <f>TEXT(Table1[[#This Row],[Order Date]],"mmmm")</f>
        <v>December</v>
      </c>
      <c r="J195" s="3">
        <f>Table1[[#This Row],[Profit]]/Table1[[#This Row],[Sales Amount]]</f>
        <v>0.59823488115535051</v>
      </c>
    </row>
    <row r="196" spans="1:10" x14ac:dyDescent="0.35">
      <c r="A196" s="1">
        <v>45250</v>
      </c>
      <c r="B196" t="s">
        <v>10</v>
      </c>
      <c r="C196" t="s">
        <v>13</v>
      </c>
      <c r="D196" t="s">
        <v>18</v>
      </c>
      <c r="E196">
        <v>5</v>
      </c>
      <c r="F196">
        <v>68.94</v>
      </c>
      <c r="G196">
        <v>12.5</v>
      </c>
      <c r="H196">
        <f>YEAR(Table1[[#This Row],[Order Date]])</f>
        <v>2023</v>
      </c>
      <c r="I196" t="str">
        <f>TEXT(Table1[[#This Row],[Order Date]],"mmmm")</f>
        <v>November</v>
      </c>
      <c r="J196" s="3">
        <f>Table1[[#This Row],[Profit]]/Table1[[#This Row],[Sales Amount]]</f>
        <v>0.18131708732230925</v>
      </c>
    </row>
    <row r="197" spans="1:10" x14ac:dyDescent="0.35">
      <c r="A197" s="1">
        <v>44999</v>
      </c>
      <c r="B197" t="s">
        <v>7</v>
      </c>
      <c r="C197" t="s">
        <v>13</v>
      </c>
      <c r="D197" t="s">
        <v>20</v>
      </c>
      <c r="E197">
        <v>9</v>
      </c>
      <c r="F197">
        <v>355.84</v>
      </c>
      <c r="G197">
        <v>40.56</v>
      </c>
      <c r="H197">
        <f>YEAR(Table1[[#This Row],[Order Date]])</f>
        <v>2023</v>
      </c>
      <c r="I197" t="str">
        <f>TEXT(Table1[[#This Row],[Order Date]],"mmmm")</f>
        <v>March</v>
      </c>
      <c r="J197" s="3">
        <f>Table1[[#This Row],[Profit]]/Table1[[#This Row],[Sales Amount]]</f>
        <v>0.1139838129496403</v>
      </c>
    </row>
    <row r="198" spans="1:10" x14ac:dyDescent="0.35">
      <c r="A198" s="1">
        <v>45219</v>
      </c>
      <c r="B198" t="s">
        <v>8</v>
      </c>
      <c r="C198" t="s">
        <v>13</v>
      </c>
      <c r="D198" t="s">
        <v>20</v>
      </c>
      <c r="E198">
        <v>6</v>
      </c>
      <c r="F198">
        <v>492.05</v>
      </c>
      <c r="G198">
        <v>133.79</v>
      </c>
      <c r="H198">
        <f>YEAR(Table1[[#This Row],[Order Date]])</f>
        <v>2023</v>
      </c>
      <c r="I198" t="str">
        <f>TEXT(Table1[[#This Row],[Order Date]],"mmmm")</f>
        <v>October</v>
      </c>
      <c r="J198" s="3">
        <f>Table1[[#This Row],[Profit]]/Table1[[#This Row],[Sales Amount]]</f>
        <v>0.27190326186363173</v>
      </c>
    </row>
    <row r="199" spans="1:10" x14ac:dyDescent="0.35">
      <c r="A199" s="1">
        <v>44988</v>
      </c>
      <c r="B199" t="s">
        <v>8</v>
      </c>
      <c r="C199" t="s">
        <v>11</v>
      </c>
      <c r="D199" t="s">
        <v>15</v>
      </c>
      <c r="E199">
        <v>9</v>
      </c>
      <c r="F199">
        <v>384.51</v>
      </c>
      <c r="G199">
        <v>19.100000000000001</v>
      </c>
      <c r="H199">
        <f>YEAR(Table1[[#This Row],[Order Date]])</f>
        <v>2023</v>
      </c>
      <c r="I199" t="str">
        <f>TEXT(Table1[[#This Row],[Order Date]],"mmmm")</f>
        <v>March</v>
      </c>
      <c r="J199" s="3">
        <f>Table1[[#This Row],[Profit]]/Table1[[#This Row],[Sales Amount]]</f>
        <v>4.9673610569295992E-2</v>
      </c>
    </row>
    <row r="200" spans="1:10" x14ac:dyDescent="0.35">
      <c r="A200" s="1">
        <v>44989</v>
      </c>
      <c r="B200" t="s">
        <v>10</v>
      </c>
      <c r="C200" t="s">
        <v>12</v>
      </c>
      <c r="D200" t="s">
        <v>21</v>
      </c>
      <c r="E200">
        <v>3</v>
      </c>
      <c r="F200">
        <v>280.70999999999998</v>
      </c>
      <c r="G200">
        <v>42.29</v>
      </c>
      <c r="H200">
        <f>YEAR(Table1[[#This Row],[Order Date]])</f>
        <v>2023</v>
      </c>
      <c r="I200" t="str">
        <f>TEXT(Table1[[#This Row],[Order Date]],"mmmm")</f>
        <v>March</v>
      </c>
      <c r="J200" s="3">
        <f>Table1[[#This Row],[Profit]]/Table1[[#This Row],[Sales Amount]]</f>
        <v>0.15065369954757579</v>
      </c>
    </row>
    <row r="201" spans="1:10" x14ac:dyDescent="0.35">
      <c r="A201" s="1">
        <v>45239</v>
      </c>
      <c r="B201" t="s">
        <v>10</v>
      </c>
      <c r="C201" t="s">
        <v>13</v>
      </c>
      <c r="D201" t="s">
        <v>20</v>
      </c>
      <c r="E201">
        <v>1</v>
      </c>
      <c r="F201">
        <v>480.77</v>
      </c>
      <c r="G201">
        <v>125.67</v>
      </c>
      <c r="H201">
        <f>YEAR(Table1[[#This Row],[Order Date]])</f>
        <v>2023</v>
      </c>
      <c r="I201" t="str">
        <f>TEXT(Table1[[#This Row],[Order Date]],"mmmm")</f>
        <v>November</v>
      </c>
      <c r="J201" s="3">
        <f>Table1[[#This Row],[Profit]]/Table1[[#This Row],[Sales Amount]]</f>
        <v>0.2613931817709092</v>
      </c>
    </row>
    <row r="202" spans="1:10" x14ac:dyDescent="0.35">
      <c r="A202" s="1">
        <v>45187</v>
      </c>
      <c r="B202" t="s">
        <v>10</v>
      </c>
      <c r="C202" t="s">
        <v>12</v>
      </c>
      <c r="D202" t="s">
        <v>17</v>
      </c>
      <c r="E202">
        <v>7</v>
      </c>
      <c r="F202">
        <v>447.7</v>
      </c>
      <c r="G202">
        <v>139.88999999999999</v>
      </c>
      <c r="H202">
        <f>YEAR(Table1[[#This Row],[Order Date]])</f>
        <v>2023</v>
      </c>
      <c r="I202" t="str">
        <f>TEXT(Table1[[#This Row],[Order Date]],"mmmm")</f>
        <v>September</v>
      </c>
      <c r="J202" s="3">
        <f>Table1[[#This Row],[Profit]]/Table1[[#This Row],[Sales Amount]]</f>
        <v>0.31246370337279428</v>
      </c>
    </row>
    <row r="203" spans="1:10" x14ac:dyDescent="0.35">
      <c r="A203" s="1">
        <v>45167</v>
      </c>
      <c r="B203" t="s">
        <v>8</v>
      </c>
      <c r="C203" t="s">
        <v>13</v>
      </c>
      <c r="D203" t="s">
        <v>19</v>
      </c>
      <c r="E203">
        <v>3</v>
      </c>
      <c r="F203">
        <v>391.21</v>
      </c>
      <c r="G203">
        <v>107.44</v>
      </c>
      <c r="H203">
        <f>YEAR(Table1[[#This Row],[Order Date]])</f>
        <v>2023</v>
      </c>
      <c r="I203" t="str">
        <f>TEXT(Table1[[#This Row],[Order Date]],"mmmm")</f>
        <v>August</v>
      </c>
      <c r="J203" s="3">
        <f>Table1[[#This Row],[Profit]]/Table1[[#This Row],[Sales Amount]]</f>
        <v>0.27463510646455869</v>
      </c>
    </row>
    <row r="204" spans="1:10" x14ac:dyDescent="0.35">
      <c r="A204" s="1">
        <v>45086</v>
      </c>
      <c r="B204" t="s">
        <v>7</v>
      </c>
      <c r="C204" t="s">
        <v>11</v>
      </c>
      <c r="D204" t="s">
        <v>15</v>
      </c>
      <c r="E204">
        <v>8</v>
      </c>
      <c r="F204">
        <v>386.54</v>
      </c>
      <c r="G204">
        <v>14.88</v>
      </c>
      <c r="H204">
        <f>YEAR(Table1[[#This Row],[Order Date]])</f>
        <v>2023</v>
      </c>
      <c r="I204" t="str">
        <f>TEXT(Table1[[#This Row],[Order Date]],"mmmm")</f>
        <v>June</v>
      </c>
      <c r="J204" s="3">
        <f>Table1[[#This Row],[Profit]]/Table1[[#This Row],[Sales Amount]]</f>
        <v>3.8495369172660006E-2</v>
      </c>
    </row>
    <row r="205" spans="1:10" x14ac:dyDescent="0.35">
      <c r="A205" s="1">
        <v>45283</v>
      </c>
      <c r="B205" t="s">
        <v>10</v>
      </c>
      <c r="C205" t="s">
        <v>13</v>
      </c>
      <c r="D205" t="s">
        <v>19</v>
      </c>
      <c r="E205">
        <v>9</v>
      </c>
      <c r="F205">
        <v>226.03</v>
      </c>
      <c r="G205">
        <v>48.21</v>
      </c>
      <c r="H205">
        <f>YEAR(Table1[[#This Row],[Order Date]])</f>
        <v>2023</v>
      </c>
      <c r="I205" t="str">
        <f>TEXT(Table1[[#This Row],[Order Date]],"mmmm")</f>
        <v>December</v>
      </c>
      <c r="J205" s="3">
        <f>Table1[[#This Row],[Profit]]/Table1[[#This Row],[Sales Amount]]</f>
        <v>0.21329027120293767</v>
      </c>
    </row>
    <row r="206" spans="1:10" x14ac:dyDescent="0.35">
      <c r="A206" s="1">
        <v>45063</v>
      </c>
      <c r="B206" t="s">
        <v>7</v>
      </c>
      <c r="C206" t="s">
        <v>12</v>
      </c>
      <c r="D206" t="s">
        <v>21</v>
      </c>
      <c r="E206">
        <v>2</v>
      </c>
      <c r="F206">
        <v>437.96</v>
      </c>
      <c r="G206">
        <v>123.33</v>
      </c>
      <c r="H206">
        <f>YEAR(Table1[[#This Row],[Order Date]])</f>
        <v>2023</v>
      </c>
      <c r="I206" t="str">
        <f>TEXT(Table1[[#This Row],[Order Date]],"mmmm")</f>
        <v>May</v>
      </c>
      <c r="J206" s="3">
        <f>Table1[[#This Row],[Profit]]/Table1[[#This Row],[Sales Amount]]</f>
        <v>0.2816010594574847</v>
      </c>
    </row>
    <row r="207" spans="1:10" x14ac:dyDescent="0.35">
      <c r="A207" s="1">
        <v>45187</v>
      </c>
      <c r="B207" t="s">
        <v>7</v>
      </c>
      <c r="C207" t="s">
        <v>12</v>
      </c>
      <c r="D207" t="s">
        <v>17</v>
      </c>
      <c r="E207">
        <v>2</v>
      </c>
      <c r="F207">
        <v>233.8</v>
      </c>
      <c r="G207">
        <v>62.18</v>
      </c>
      <c r="H207">
        <f>YEAR(Table1[[#This Row],[Order Date]])</f>
        <v>2023</v>
      </c>
      <c r="I207" t="str">
        <f>TEXT(Table1[[#This Row],[Order Date]],"mmmm")</f>
        <v>September</v>
      </c>
      <c r="J207" s="3">
        <f>Table1[[#This Row],[Profit]]/Table1[[#This Row],[Sales Amount]]</f>
        <v>0.26595380667236951</v>
      </c>
    </row>
    <row r="208" spans="1:10" x14ac:dyDescent="0.35">
      <c r="A208" s="1">
        <v>45102</v>
      </c>
      <c r="B208" t="s">
        <v>10</v>
      </c>
      <c r="C208" t="s">
        <v>11</v>
      </c>
      <c r="D208" t="s">
        <v>15</v>
      </c>
      <c r="E208">
        <v>6</v>
      </c>
      <c r="F208">
        <v>482.95</v>
      </c>
      <c r="G208">
        <v>25.33</v>
      </c>
      <c r="H208">
        <f>YEAR(Table1[[#This Row],[Order Date]])</f>
        <v>2023</v>
      </c>
      <c r="I208" t="str">
        <f>TEXT(Table1[[#This Row],[Order Date]],"mmmm")</f>
        <v>June</v>
      </c>
      <c r="J208" s="3">
        <f>Table1[[#This Row],[Profit]]/Table1[[#This Row],[Sales Amount]]</f>
        <v>5.2448493632881246E-2</v>
      </c>
    </row>
    <row r="209" spans="1:10" x14ac:dyDescent="0.35">
      <c r="A209" s="1">
        <v>45007</v>
      </c>
      <c r="B209" t="s">
        <v>10</v>
      </c>
      <c r="C209" t="s">
        <v>12</v>
      </c>
      <c r="D209" t="s">
        <v>21</v>
      </c>
      <c r="E209">
        <v>3</v>
      </c>
      <c r="F209">
        <v>421.11</v>
      </c>
      <c r="G209">
        <v>58.69</v>
      </c>
      <c r="H209">
        <f>YEAR(Table1[[#This Row],[Order Date]])</f>
        <v>2023</v>
      </c>
      <c r="I209" t="str">
        <f>TEXT(Table1[[#This Row],[Order Date]],"mmmm")</f>
        <v>March</v>
      </c>
      <c r="J209" s="3">
        <f>Table1[[#This Row],[Profit]]/Table1[[#This Row],[Sales Amount]]</f>
        <v>0.13936976087008143</v>
      </c>
    </row>
    <row r="210" spans="1:10" x14ac:dyDescent="0.35">
      <c r="A210" s="1">
        <v>44966</v>
      </c>
      <c r="B210" t="s">
        <v>7</v>
      </c>
      <c r="C210" t="s">
        <v>13</v>
      </c>
      <c r="D210" t="s">
        <v>20</v>
      </c>
      <c r="E210">
        <v>1</v>
      </c>
      <c r="F210">
        <v>445.38</v>
      </c>
      <c r="G210">
        <v>121.64</v>
      </c>
      <c r="H210">
        <f>YEAR(Table1[[#This Row],[Order Date]])</f>
        <v>2023</v>
      </c>
      <c r="I210" t="str">
        <f>TEXT(Table1[[#This Row],[Order Date]],"mmmm")</f>
        <v>February</v>
      </c>
      <c r="J210" s="3">
        <f>Table1[[#This Row],[Profit]]/Table1[[#This Row],[Sales Amount]]</f>
        <v>0.27311509272980378</v>
      </c>
    </row>
    <row r="211" spans="1:10" x14ac:dyDescent="0.35">
      <c r="A211" s="1">
        <v>44985</v>
      </c>
      <c r="B211" t="s">
        <v>7</v>
      </c>
      <c r="C211" t="s">
        <v>12</v>
      </c>
      <c r="D211" t="s">
        <v>21</v>
      </c>
      <c r="E211">
        <v>9</v>
      </c>
      <c r="F211">
        <v>468.54</v>
      </c>
      <c r="G211">
        <v>24.82</v>
      </c>
      <c r="H211">
        <f>YEAR(Table1[[#This Row],[Order Date]])</f>
        <v>2023</v>
      </c>
      <c r="I211" t="str">
        <f>TEXT(Table1[[#This Row],[Order Date]],"mmmm")</f>
        <v>February</v>
      </c>
      <c r="J211" s="3">
        <f>Table1[[#This Row],[Profit]]/Table1[[#This Row],[Sales Amount]]</f>
        <v>5.2973065266572757E-2</v>
      </c>
    </row>
    <row r="212" spans="1:10" x14ac:dyDescent="0.35">
      <c r="A212" s="1">
        <v>45114</v>
      </c>
      <c r="B212" t="s">
        <v>7</v>
      </c>
      <c r="C212" t="s">
        <v>11</v>
      </c>
      <c r="D212" t="s">
        <v>22</v>
      </c>
      <c r="E212">
        <v>9</v>
      </c>
      <c r="F212">
        <v>63.16</v>
      </c>
      <c r="G212">
        <v>125.61</v>
      </c>
      <c r="H212">
        <f>YEAR(Table1[[#This Row],[Order Date]])</f>
        <v>2023</v>
      </c>
      <c r="I212" t="str">
        <f>TEXT(Table1[[#This Row],[Order Date]],"mmmm")</f>
        <v>July</v>
      </c>
      <c r="J212" s="3">
        <f>Table1[[#This Row],[Profit]]/Table1[[#This Row],[Sales Amount]]</f>
        <v>1.9887587080430653</v>
      </c>
    </row>
    <row r="213" spans="1:10" x14ac:dyDescent="0.35">
      <c r="A213" s="1">
        <v>45086</v>
      </c>
      <c r="B213" t="s">
        <v>7</v>
      </c>
      <c r="C213" t="s">
        <v>13</v>
      </c>
      <c r="D213" t="s">
        <v>20</v>
      </c>
      <c r="E213">
        <v>7</v>
      </c>
      <c r="F213">
        <v>122.34</v>
      </c>
      <c r="G213">
        <v>124.52</v>
      </c>
      <c r="H213">
        <f>YEAR(Table1[[#This Row],[Order Date]])</f>
        <v>2023</v>
      </c>
      <c r="I213" t="str">
        <f>TEXT(Table1[[#This Row],[Order Date]],"mmmm")</f>
        <v>June</v>
      </c>
      <c r="J213" s="3">
        <f>Table1[[#This Row],[Profit]]/Table1[[#This Row],[Sales Amount]]</f>
        <v>1.0178191924145823</v>
      </c>
    </row>
    <row r="214" spans="1:10" x14ac:dyDescent="0.35">
      <c r="A214" s="1">
        <v>45003</v>
      </c>
      <c r="B214" t="s">
        <v>8</v>
      </c>
      <c r="C214" t="s">
        <v>13</v>
      </c>
      <c r="D214" t="s">
        <v>19</v>
      </c>
      <c r="E214">
        <v>2</v>
      </c>
      <c r="F214">
        <v>179.17</v>
      </c>
      <c r="G214">
        <v>96.37</v>
      </c>
      <c r="H214">
        <f>YEAR(Table1[[#This Row],[Order Date]])</f>
        <v>2023</v>
      </c>
      <c r="I214" t="str">
        <f>TEXT(Table1[[#This Row],[Order Date]],"mmmm")</f>
        <v>March</v>
      </c>
      <c r="J214" s="3">
        <f>Table1[[#This Row],[Profit]]/Table1[[#This Row],[Sales Amount]]</f>
        <v>0.53786906290115544</v>
      </c>
    </row>
    <row r="215" spans="1:10" x14ac:dyDescent="0.35">
      <c r="A215" s="1">
        <v>45159</v>
      </c>
      <c r="B215" t="s">
        <v>8</v>
      </c>
      <c r="C215" t="s">
        <v>12</v>
      </c>
      <c r="D215" t="s">
        <v>17</v>
      </c>
      <c r="E215">
        <v>2</v>
      </c>
      <c r="F215">
        <v>335.3</v>
      </c>
      <c r="G215">
        <v>85.6</v>
      </c>
      <c r="H215">
        <f>YEAR(Table1[[#This Row],[Order Date]])</f>
        <v>2023</v>
      </c>
      <c r="I215" t="str">
        <f>TEXT(Table1[[#This Row],[Order Date]],"mmmm")</f>
        <v>August</v>
      </c>
      <c r="J215" s="3">
        <f>Table1[[#This Row],[Profit]]/Table1[[#This Row],[Sales Amount]]</f>
        <v>0.25529376677602145</v>
      </c>
    </row>
    <row r="216" spans="1:10" x14ac:dyDescent="0.35">
      <c r="A216" s="1">
        <v>45252</v>
      </c>
      <c r="B216" t="s">
        <v>7</v>
      </c>
      <c r="C216" t="s">
        <v>11</v>
      </c>
      <c r="D216" t="s">
        <v>15</v>
      </c>
      <c r="E216">
        <v>7</v>
      </c>
      <c r="F216">
        <v>293.57</v>
      </c>
      <c r="G216">
        <v>144.82</v>
      </c>
      <c r="H216">
        <f>YEAR(Table1[[#This Row],[Order Date]])</f>
        <v>2023</v>
      </c>
      <c r="I216" t="str">
        <f>TEXT(Table1[[#This Row],[Order Date]],"mmmm")</f>
        <v>November</v>
      </c>
      <c r="J216" s="3">
        <f>Table1[[#This Row],[Profit]]/Table1[[#This Row],[Sales Amount]]</f>
        <v>0.49330653677146846</v>
      </c>
    </row>
    <row r="217" spans="1:10" x14ac:dyDescent="0.35">
      <c r="A217" s="1">
        <v>44986</v>
      </c>
      <c r="B217" t="s">
        <v>7</v>
      </c>
      <c r="C217" t="s">
        <v>11</v>
      </c>
      <c r="D217" t="s">
        <v>15</v>
      </c>
      <c r="E217">
        <v>5</v>
      </c>
      <c r="F217">
        <v>96.13</v>
      </c>
      <c r="G217">
        <v>141.21</v>
      </c>
      <c r="H217">
        <f>YEAR(Table1[[#This Row],[Order Date]])</f>
        <v>2023</v>
      </c>
      <c r="I217" t="str">
        <f>TEXT(Table1[[#This Row],[Order Date]],"mmmm")</f>
        <v>March</v>
      </c>
      <c r="J217" s="3">
        <f>Table1[[#This Row],[Profit]]/Table1[[#This Row],[Sales Amount]]</f>
        <v>1.4689482991781964</v>
      </c>
    </row>
    <row r="218" spans="1:10" x14ac:dyDescent="0.35">
      <c r="A218" s="1">
        <v>45250</v>
      </c>
      <c r="B218" t="s">
        <v>7</v>
      </c>
      <c r="C218" t="s">
        <v>13</v>
      </c>
      <c r="D218" t="s">
        <v>20</v>
      </c>
      <c r="E218">
        <v>6</v>
      </c>
      <c r="F218">
        <v>368.86</v>
      </c>
      <c r="G218">
        <v>76.3</v>
      </c>
      <c r="H218">
        <f>YEAR(Table1[[#This Row],[Order Date]])</f>
        <v>2023</v>
      </c>
      <c r="I218" t="str">
        <f>TEXT(Table1[[#This Row],[Order Date]],"mmmm")</f>
        <v>November</v>
      </c>
      <c r="J218" s="3">
        <f>Table1[[#This Row],[Profit]]/Table1[[#This Row],[Sales Amount]]</f>
        <v>0.20685354877189177</v>
      </c>
    </row>
    <row r="219" spans="1:10" x14ac:dyDescent="0.35">
      <c r="A219" s="1">
        <v>45046</v>
      </c>
      <c r="B219" t="s">
        <v>7</v>
      </c>
      <c r="C219" t="s">
        <v>13</v>
      </c>
      <c r="D219" t="s">
        <v>18</v>
      </c>
      <c r="E219">
        <v>2</v>
      </c>
      <c r="F219">
        <v>495.57</v>
      </c>
      <c r="G219">
        <v>104.65</v>
      </c>
      <c r="H219">
        <f>YEAR(Table1[[#This Row],[Order Date]])</f>
        <v>2023</v>
      </c>
      <c r="I219" t="str">
        <f>TEXT(Table1[[#This Row],[Order Date]],"mmmm")</f>
        <v>April</v>
      </c>
      <c r="J219" s="3">
        <f>Table1[[#This Row],[Profit]]/Table1[[#This Row],[Sales Amount]]</f>
        <v>0.21117097483705632</v>
      </c>
    </row>
    <row r="220" spans="1:10" x14ac:dyDescent="0.35">
      <c r="A220" s="1">
        <v>45153</v>
      </c>
      <c r="B220" t="s">
        <v>9</v>
      </c>
      <c r="C220" t="s">
        <v>11</v>
      </c>
      <c r="D220" t="s">
        <v>22</v>
      </c>
      <c r="E220">
        <v>7</v>
      </c>
      <c r="F220">
        <v>79.53</v>
      </c>
      <c r="G220">
        <v>125.01</v>
      </c>
      <c r="H220">
        <f>YEAR(Table1[[#This Row],[Order Date]])</f>
        <v>2023</v>
      </c>
      <c r="I220" t="str">
        <f>TEXT(Table1[[#This Row],[Order Date]],"mmmm")</f>
        <v>August</v>
      </c>
      <c r="J220" s="3">
        <f>Table1[[#This Row],[Profit]]/Table1[[#This Row],[Sales Amount]]</f>
        <v>1.5718596755941154</v>
      </c>
    </row>
    <row r="221" spans="1:10" x14ac:dyDescent="0.35">
      <c r="A221" s="1">
        <v>45005</v>
      </c>
      <c r="B221" t="s">
        <v>9</v>
      </c>
      <c r="C221" t="s">
        <v>11</v>
      </c>
      <c r="D221" t="s">
        <v>14</v>
      </c>
      <c r="E221">
        <v>7</v>
      </c>
      <c r="F221">
        <v>250.66</v>
      </c>
      <c r="G221">
        <v>48.31</v>
      </c>
      <c r="H221">
        <f>YEAR(Table1[[#This Row],[Order Date]])</f>
        <v>2023</v>
      </c>
      <c r="I221" t="str">
        <f>TEXT(Table1[[#This Row],[Order Date]],"mmmm")</f>
        <v>March</v>
      </c>
      <c r="J221" s="3">
        <f>Table1[[#This Row],[Profit]]/Table1[[#This Row],[Sales Amount]]</f>
        <v>0.19273118965929947</v>
      </c>
    </row>
    <row r="222" spans="1:10" x14ac:dyDescent="0.35">
      <c r="A222" s="1">
        <v>44930</v>
      </c>
      <c r="B222" t="s">
        <v>8</v>
      </c>
      <c r="C222" t="s">
        <v>12</v>
      </c>
      <c r="D222" t="s">
        <v>17</v>
      </c>
      <c r="E222">
        <v>9</v>
      </c>
      <c r="F222">
        <v>123.63</v>
      </c>
      <c r="G222">
        <v>121.27</v>
      </c>
      <c r="H222">
        <f>YEAR(Table1[[#This Row],[Order Date]])</f>
        <v>2023</v>
      </c>
      <c r="I222" t="str">
        <f>TEXT(Table1[[#This Row],[Order Date]],"mmmm")</f>
        <v>January</v>
      </c>
      <c r="J222" s="3">
        <f>Table1[[#This Row],[Profit]]/Table1[[#This Row],[Sales Amount]]</f>
        <v>0.98091078217261185</v>
      </c>
    </row>
    <row r="223" spans="1:10" x14ac:dyDescent="0.35">
      <c r="A223" s="1">
        <v>45001</v>
      </c>
      <c r="B223" t="s">
        <v>9</v>
      </c>
      <c r="C223" t="s">
        <v>12</v>
      </c>
      <c r="D223" t="s">
        <v>16</v>
      </c>
      <c r="E223">
        <v>4</v>
      </c>
      <c r="F223">
        <v>344.53</v>
      </c>
      <c r="G223">
        <v>48.26</v>
      </c>
      <c r="H223">
        <f>YEAR(Table1[[#This Row],[Order Date]])</f>
        <v>2023</v>
      </c>
      <c r="I223" t="str">
        <f>TEXT(Table1[[#This Row],[Order Date]],"mmmm")</f>
        <v>March</v>
      </c>
      <c r="J223" s="3">
        <f>Table1[[#This Row],[Profit]]/Table1[[#This Row],[Sales Amount]]</f>
        <v>0.14007488462543174</v>
      </c>
    </row>
    <row r="224" spans="1:10" x14ac:dyDescent="0.35">
      <c r="A224" s="1">
        <v>45162</v>
      </c>
      <c r="B224" t="s">
        <v>9</v>
      </c>
      <c r="C224" t="s">
        <v>12</v>
      </c>
      <c r="D224" t="s">
        <v>21</v>
      </c>
      <c r="E224">
        <v>5</v>
      </c>
      <c r="F224">
        <v>459.29</v>
      </c>
      <c r="G224">
        <v>130.03</v>
      </c>
      <c r="H224">
        <f>YEAR(Table1[[#This Row],[Order Date]])</f>
        <v>2023</v>
      </c>
      <c r="I224" t="str">
        <f>TEXT(Table1[[#This Row],[Order Date]],"mmmm")</f>
        <v>August</v>
      </c>
      <c r="J224" s="3">
        <f>Table1[[#This Row],[Profit]]/Table1[[#This Row],[Sales Amount]]</f>
        <v>0.28311088854536348</v>
      </c>
    </row>
    <row r="225" spans="1:10" x14ac:dyDescent="0.35">
      <c r="A225" s="1">
        <v>45073</v>
      </c>
      <c r="B225" t="s">
        <v>8</v>
      </c>
      <c r="C225" t="s">
        <v>13</v>
      </c>
      <c r="D225" t="s">
        <v>20</v>
      </c>
      <c r="E225">
        <v>3</v>
      </c>
      <c r="F225">
        <v>190.38</v>
      </c>
      <c r="G225">
        <v>54.9</v>
      </c>
      <c r="H225">
        <f>YEAR(Table1[[#This Row],[Order Date]])</f>
        <v>2023</v>
      </c>
      <c r="I225" t="str">
        <f>TEXT(Table1[[#This Row],[Order Date]],"mmmm")</f>
        <v>May</v>
      </c>
      <c r="J225" s="3">
        <f>Table1[[#This Row],[Profit]]/Table1[[#This Row],[Sales Amount]]</f>
        <v>0.28837062716671918</v>
      </c>
    </row>
    <row r="226" spans="1:10" x14ac:dyDescent="0.35">
      <c r="A226" s="1">
        <v>44941</v>
      </c>
      <c r="B226" t="s">
        <v>10</v>
      </c>
      <c r="C226" t="s">
        <v>13</v>
      </c>
      <c r="D226" t="s">
        <v>20</v>
      </c>
      <c r="E226">
        <v>3</v>
      </c>
      <c r="F226">
        <v>64.010000000000005</v>
      </c>
      <c r="G226">
        <v>101.23</v>
      </c>
      <c r="H226">
        <f>YEAR(Table1[[#This Row],[Order Date]])</f>
        <v>2023</v>
      </c>
      <c r="I226" t="str">
        <f>TEXT(Table1[[#This Row],[Order Date]],"mmmm")</f>
        <v>January</v>
      </c>
      <c r="J226" s="3">
        <f>Table1[[#This Row],[Profit]]/Table1[[#This Row],[Sales Amount]]</f>
        <v>1.58147164505546</v>
      </c>
    </row>
    <row r="227" spans="1:10" x14ac:dyDescent="0.35">
      <c r="A227" s="1">
        <v>45197</v>
      </c>
      <c r="B227" t="s">
        <v>9</v>
      </c>
      <c r="C227" t="s">
        <v>13</v>
      </c>
      <c r="D227" t="s">
        <v>19</v>
      </c>
      <c r="E227">
        <v>8</v>
      </c>
      <c r="F227">
        <v>121.66</v>
      </c>
      <c r="G227">
        <v>38.520000000000003</v>
      </c>
      <c r="H227">
        <f>YEAR(Table1[[#This Row],[Order Date]])</f>
        <v>2023</v>
      </c>
      <c r="I227" t="str">
        <f>TEXT(Table1[[#This Row],[Order Date]],"mmmm")</f>
        <v>September</v>
      </c>
      <c r="J227" s="3">
        <f>Table1[[#This Row],[Profit]]/Table1[[#This Row],[Sales Amount]]</f>
        <v>0.31662008877198755</v>
      </c>
    </row>
    <row r="228" spans="1:10" x14ac:dyDescent="0.35">
      <c r="A228" s="1">
        <v>45235</v>
      </c>
      <c r="B228" t="s">
        <v>9</v>
      </c>
      <c r="C228" t="s">
        <v>12</v>
      </c>
      <c r="D228" t="s">
        <v>17</v>
      </c>
      <c r="E228">
        <v>2</v>
      </c>
      <c r="F228">
        <v>392.46</v>
      </c>
      <c r="G228">
        <v>97.67</v>
      </c>
      <c r="H228">
        <f>YEAR(Table1[[#This Row],[Order Date]])</f>
        <v>2023</v>
      </c>
      <c r="I228" t="str">
        <f>TEXT(Table1[[#This Row],[Order Date]],"mmmm")</f>
        <v>November</v>
      </c>
      <c r="J228" s="3">
        <f>Table1[[#This Row],[Profit]]/Table1[[#This Row],[Sales Amount]]</f>
        <v>0.24886612648422771</v>
      </c>
    </row>
    <row r="229" spans="1:10" x14ac:dyDescent="0.35">
      <c r="A229" s="1">
        <v>44950</v>
      </c>
      <c r="B229" t="s">
        <v>9</v>
      </c>
      <c r="C229" t="s">
        <v>12</v>
      </c>
      <c r="D229" t="s">
        <v>16</v>
      </c>
      <c r="E229">
        <v>3</v>
      </c>
      <c r="F229">
        <v>133.46</v>
      </c>
      <c r="G229">
        <v>74.69</v>
      </c>
      <c r="H229">
        <f>YEAR(Table1[[#This Row],[Order Date]])</f>
        <v>2023</v>
      </c>
      <c r="I229" t="str">
        <f>TEXT(Table1[[#This Row],[Order Date]],"mmmm")</f>
        <v>January</v>
      </c>
      <c r="J229" s="3">
        <f>Table1[[#This Row],[Profit]]/Table1[[#This Row],[Sales Amount]]</f>
        <v>0.55964333882811323</v>
      </c>
    </row>
    <row r="230" spans="1:10" x14ac:dyDescent="0.35">
      <c r="A230" s="1">
        <v>45132</v>
      </c>
      <c r="B230" t="s">
        <v>7</v>
      </c>
      <c r="C230" t="s">
        <v>13</v>
      </c>
      <c r="D230" t="s">
        <v>20</v>
      </c>
      <c r="E230">
        <v>4</v>
      </c>
      <c r="F230">
        <v>243.64</v>
      </c>
      <c r="G230">
        <v>38.07</v>
      </c>
      <c r="H230">
        <f>YEAR(Table1[[#This Row],[Order Date]])</f>
        <v>2023</v>
      </c>
      <c r="I230" t="str">
        <f>TEXT(Table1[[#This Row],[Order Date]],"mmmm")</f>
        <v>July</v>
      </c>
      <c r="J230" s="3">
        <f>Table1[[#This Row],[Profit]]/Table1[[#This Row],[Sales Amount]]</f>
        <v>0.15625513052044002</v>
      </c>
    </row>
    <row r="231" spans="1:10" x14ac:dyDescent="0.35">
      <c r="A231" s="1">
        <v>45245</v>
      </c>
      <c r="B231" t="s">
        <v>10</v>
      </c>
      <c r="C231" t="s">
        <v>12</v>
      </c>
      <c r="D231" t="s">
        <v>16</v>
      </c>
      <c r="E231">
        <v>5</v>
      </c>
      <c r="F231">
        <v>171.05</v>
      </c>
      <c r="G231">
        <v>121.66</v>
      </c>
      <c r="H231">
        <f>YEAR(Table1[[#This Row],[Order Date]])</f>
        <v>2023</v>
      </c>
      <c r="I231" t="str">
        <f>TEXT(Table1[[#This Row],[Order Date]],"mmmm")</f>
        <v>November</v>
      </c>
      <c r="J231" s="3">
        <f>Table1[[#This Row],[Profit]]/Table1[[#This Row],[Sales Amount]]</f>
        <v>0.71125401929260446</v>
      </c>
    </row>
    <row r="232" spans="1:10" x14ac:dyDescent="0.35">
      <c r="A232" s="1">
        <v>44990</v>
      </c>
      <c r="B232" t="s">
        <v>8</v>
      </c>
      <c r="C232" t="s">
        <v>11</v>
      </c>
      <c r="D232" t="s">
        <v>22</v>
      </c>
      <c r="E232">
        <v>8</v>
      </c>
      <c r="F232">
        <v>259.07</v>
      </c>
      <c r="G232">
        <v>105.26</v>
      </c>
      <c r="H232">
        <f>YEAR(Table1[[#This Row],[Order Date]])</f>
        <v>2023</v>
      </c>
      <c r="I232" t="str">
        <f>TEXT(Table1[[#This Row],[Order Date]],"mmmm")</f>
        <v>March</v>
      </c>
      <c r="J232" s="3">
        <f>Table1[[#This Row],[Profit]]/Table1[[#This Row],[Sales Amount]]</f>
        <v>0.40629945574555143</v>
      </c>
    </row>
    <row r="233" spans="1:10" x14ac:dyDescent="0.35">
      <c r="A233" s="1">
        <v>45021</v>
      </c>
      <c r="B233" t="s">
        <v>10</v>
      </c>
      <c r="C233" t="s">
        <v>13</v>
      </c>
      <c r="D233" t="s">
        <v>19</v>
      </c>
      <c r="E233">
        <v>9</v>
      </c>
      <c r="F233">
        <v>437.06</v>
      </c>
      <c r="G233">
        <v>119.18</v>
      </c>
      <c r="H233">
        <f>YEAR(Table1[[#This Row],[Order Date]])</f>
        <v>2023</v>
      </c>
      <c r="I233" t="str">
        <f>TEXT(Table1[[#This Row],[Order Date]],"mmmm")</f>
        <v>April</v>
      </c>
      <c r="J233" s="3">
        <f>Table1[[#This Row],[Profit]]/Table1[[#This Row],[Sales Amount]]</f>
        <v>0.27268567244771885</v>
      </c>
    </row>
    <row r="234" spans="1:10" x14ac:dyDescent="0.35">
      <c r="A234" s="1">
        <v>45140</v>
      </c>
      <c r="B234" t="s">
        <v>7</v>
      </c>
      <c r="C234" t="s">
        <v>11</v>
      </c>
      <c r="D234" t="s">
        <v>22</v>
      </c>
      <c r="E234">
        <v>1</v>
      </c>
      <c r="F234">
        <v>96.26</v>
      </c>
      <c r="G234">
        <v>89.93</v>
      </c>
      <c r="H234">
        <f>YEAR(Table1[[#This Row],[Order Date]])</f>
        <v>2023</v>
      </c>
      <c r="I234" t="str">
        <f>TEXT(Table1[[#This Row],[Order Date]],"mmmm")</f>
        <v>August</v>
      </c>
      <c r="J234" s="3">
        <f>Table1[[#This Row],[Profit]]/Table1[[#This Row],[Sales Amount]]</f>
        <v>0.93424059837938922</v>
      </c>
    </row>
    <row r="235" spans="1:10" x14ac:dyDescent="0.35">
      <c r="A235" s="1">
        <v>45006</v>
      </c>
      <c r="B235" t="s">
        <v>10</v>
      </c>
      <c r="C235" t="s">
        <v>11</v>
      </c>
      <c r="D235" t="s">
        <v>15</v>
      </c>
      <c r="E235">
        <v>4</v>
      </c>
      <c r="F235">
        <v>205.71</v>
      </c>
      <c r="G235">
        <v>118.61</v>
      </c>
      <c r="H235">
        <f>YEAR(Table1[[#This Row],[Order Date]])</f>
        <v>2023</v>
      </c>
      <c r="I235" t="str">
        <f>TEXT(Table1[[#This Row],[Order Date]],"mmmm")</f>
        <v>March</v>
      </c>
      <c r="J235" s="3">
        <f>Table1[[#This Row],[Profit]]/Table1[[#This Row],[Sales Amount]]</f>
        <v>0.57658840114724608</v>
      </c>
    </row>
    <row r="236" spans="1:10" x14ac:dyDescent="0.35">
      <c r="A236" s="1">
        <v>45279</v>
      </c>
      <c r="B236" t="s">
        <v>10</v>
      </c>
      <c r="C236" t="s">
        <v>13</v>
      </c>
      <c r="D236" t="s">
        <v>20</v>
      </c>
      <c r="E236">
        <v>1</v>
      </c>
      <c r="F236">
        <v>447.14</v>
      </c>
      <c r="G236">
        <v>21.55</v>
      </c>
      <c r="H236">
        <f>YEAR(Table1[[#This Row],[Order Date]])</f>
        <v>2023</v>
      </c>
      <c r="I236" t="str">
        <f>TEXT(Table1[[#This Row],[Order Date]],"mmmm")</f>
        <v>December</v>
      </c>
      <c r="J236" s="3">
        <f>Table1[[#This Row],[Profit]]/Table1[[#This Row],[Sales Amount]]</f>
        <v>4.8195196135438566E-2</v>
      </c>
    </row>
    <row r="237" spans="1:10" x14ac:dyDescent="0.35">
      <c r="A237" s="1">
        <v>45042</v>
      </c>
      <c r="B237" t="s">
        <v>10</v>
      </c>
      <c r="C237" t="s">
        <v>12</v>
      </c>
      <c r="D237" t="s">
        <v>16</v>
      </c>
      <c r="E237">
        <v>7</v>
      </c>
      <c r="F237">
        <v>109.72</v>
      </c>
      <c r="G237">
        <v>89.46</v>
      </c>
      <c r="H237">
        <f>YEAR(Table1[[#This Row],[Order Date]])</f>
        <v>2023</v>
      </c>
      <c r="I237" t="str">
        <f>TEXT(Table1[[#This Row],[Order Date]],"mmmm")</f>
        <v>April</v>
      </c>
      <c r="J237" s="3">
        <f>Table1[[#This Row],[Profit]]/Table1[[#This Row],[Sales Amount]]</f>
        <v>0.81534815895005464</v>
      </c>
    </row>
    <row r="238" spans="1:10" x14ac:dyDescent="0.35">
      <c r="A238" s="1">
        <v>45048</v>
      </c>
      <c r="B238" t="s">
        <v>10</v>
      </c>
      <c r="C238" t="s">
        <v>13</v>
      </c>
      <c r="D238" t="s">
        <v>19</v>
      </c>
      <c r="E238">
        <v>2</v>
      </c>
      <c r="F238">
        <v>68.53</v>
      </c>
      <c r="G238">
        <v>103.85</v>
      </c>
      <c r="H238">
        <f>YEAR(Table1[[#This Row],[Order Date]])</f>
        <v>2023</v>
      </c>
      <c r="I238" t="str">
        <f>TEXT(Table1[[#This Row],[Order Date]],"mmmm")</f>
        <v>May</v>
      </c>
      <c r="J238" s="3">
        <f>Table1[[#This Row],[Profit]]/Table1[[#This Row],[Sales Amount]]</f>
        <v>1.5153947176419085</v>
      </c>
    </row>
    <row r="239" spans="1:10" x14ac:dyDescent="0.35">
      <c r="A239" s="1">
        <v>45243</v>
      </c>
      <c r="B239" t="s">
        <v>7</v>
      </c>
      <c r="C239" t="s">
        <v>11</v>
      </c>
      <c r="D239" t="s">
        <v>14</v>
      </c>
      <c r="E239">
        <v>6</v>
      </c>
      <c r="F239">
        <v>317.64999999999998</v>
      </c>
      <c r="G239">
        <v>96.32</v>
      </c>
      <c r="H239">
        <f>YEAR(Table1[[#This Row],[Order Date]])</f>
        <v>2023</v>
      </c>
      <c r="I239" t="str">
        <f>TEXT(Table1[[#This Row],[Order Date]],"mmmm")</f>
        <v>November</v>
      </c>
      <c r="J239" s="3">
        <f>Table1[[#This Row],[Profit]]/Table1[[#This Row],[Sales Amount]]</f>
        <v>0.30322682197387063</v>
      </c>
    </row>
    <row r="240" spans="1:10" x14ac:dyDescent="0.35">
      <c r="A240" s="1">
        <v>44967</v>
      </c>
      <c r="B240" t="s">
        <v>10</v>
      </c>
      <c r="C240" t="s">
        <v>11</v>
      </c>
      <c r="D240" t="s">
        <v>15</v>
      </c>
      <c r="E240">
        <v>4</v>
      </c>
      <c r="F240">
        <v>202.75</v>
      </c>
      <c r="G240">
        <v>124.08</v>
      </c>
      <c r="H240">
        <f>YEAR(Table1[[#This Row],[Order Date]])</f>
        <v>2023</v>
      </c>
      <c r="I240" t="str">
        <f>TEXT(Table1[[#This Row],[Order Date]],"mmmm")</f>
        <v>February</v>
      </c>
      <c r="J240" s="3">
        <f>Table1[[#This Row],[Profit]]/Table1[[#This Row],[Sales Amount]]</f>
        <v>0.61198520345252772</v>
      </c>
    </row>
    <row r="241" spans="1:10" x14ac:dyDescent="0.35">
      <c r="A241" s="1">
        <v>45010</v>
      </c>
      <c r="B241" t="s">
        <v>9</v>
      </c>
      <c r="C241" t="s">
        <v>11</v>
      </c>
      <c r="D241" t="s">
        <v>15</v>
      </c>
      <c r="E241">
        <v>6</v>
      </c>
      <c r="F241">
        <v>253.54</v>
      </c>
      <c r="G241">
        <v>100.1</v>
      </c>
      <c r="H241">
        <f>YEAR(Table1[[#This Row],[Order Date]])</f>
        <v>2023</v>
      </c>
      <c r="I241" t="str">
        <f>TEXT(Table1[[#This Row],[Order Date]],"mmmm")</f>
        <v>March</v>
      </c>
      <c r="J241" s="3">
        <f>Table1[[#This Row],[Profit]]/Table1[[#This Row],[Sales Amount]]</f>
        <v>0.39480949751518496</v>
      </c>
    </row>
    <row r="242" spans="1:10" x14ac:dyDescent="0.35">
      <c r="A242" s="1">
        <v>45114</v>
      </c>
      <c r="B242" t="s">
        <v>10</v>
      </c>
      <c r="C242" t="s">
        <v>12</v>
      </c>
      <c r="D242" t="s">
        <v>16</v>
      </c>
      <c r="E242">
        <v>2</v>
      </c>
      <c r="F242">
        <v>77.16</v>
      </c>
      <c r="G242">
        <v>44.59</v>
      </c>
      <c r="H242">
        <f>YEAR(Table1[[#This Row],[Order Date]])</f>
        <v>2023</v>
      </c>
      <c r="I242" t="str">
        <f>TEXT(Table1[[#This Row],[Order Date]],"mmmm")</f>
        <v>July</v>
      </c>
      <c r="J242" s="3">
        <f>Table1[[#This Row],[Profit]]/Table1[[#This Row],[Sales Amount]]</f>
        <v>0.57789009849663042</v>
      </c>
    </row>
    <row r="243" spans="1:10" x14ac:dyDescent="0.35">
      <c r="A243" s="1">
        <v>44951</v>
      </c>
      <c r="B243" t="s">
        <v>8</v>
      </c>
      <c r="C243" t="s">
        <v>12</v>
      </c>
      <c r="D243" t="s">
        <v>17</v>
      </c>
      <c r="E243">
        <v>3</v>
      </c>
      <c r="F243">
        <v>489.14</v>
      </c>
      <c r="G243">
        <v>57.17</v>
      </c>
      <c r="H243">
        <f>YEAR(Table1[[#This Row],[Order Date]])</f>
        <v>2023</v>
      </c>
      <c r="I243" t="str">
        <f>TEXT(Table1[[#This Row],[Order Date]],"mmmm")</f>
        <v>January</v>
      </c>
      <c r="J243" s="3">
        <f>Table1[[#This Row],[Profit]]/Table1[[#This Row],[Sales Amount]]</f>
        <v>0.11687860326286953</v>
      </c>
    </row>
    <row r="244" spans="1:10" x14ac:dyDescent="0.35">
      <c r="A244" s="1">
        <v>45045</v>
      </c>
      <c r="B244" t="s">
        <v>8</v>
      </c>
      <c r="C244" t="s">
        <v>12</v>
      </c>
      <c r="D244" t="s">
        <v>17</v>
      </c>
      <c r="E244">
        <v>3</v>
      </c>
      <c r="F244">
        <v>122.75</v>
      </c>
      <c r="G244">
        <v>12.92</v>
      </c>
      <c r="H244">
        <f>YEAR(Table1[[#This Row],[Order Date]])</f>
        <v>2023</v>
      </c>
      <c r="I244" t="str">
        <f>TEXT(Table1[[#This Row],[Order Date]],"mmmm")</f>
        <v>April</v>
      </c>
      <c r="J244" s="3">
        <f>Table1[[#This Row],[Profit]]/Table1[[#This Row],[Sales Amount]]</f>
        <v>0.10525458248472505</v>
      </c>
    </row>
    <row r="245" spans="1:10" x14ac:dyDescent="0.35">
      <c r="A245" s="1">
        <v>45076</v>
      </c>
      <c r="B245" t="s">
        <v>8</v>
      </c>
      <c r="C245" t="s">
        <v>11</v>
      </c>
      <c r="D245" t="s">
        <v>22</v>
      </c>
      <c r="E245">
        <v>3</v>
      </c>
      <c r="F245">
        <v>86.69</v>
      </c>
      <c r="G245">
        <v>66.459999999999994</v>
      </c>
      <c r="H245">
        <f>YEAR(Table1[[#This Row],[Order Date]])</f>
        <v>2023</v>
      </c>
      <c r="I245" t="str">
        <f>TEXT(Table1[[#This Row],[Order Date]],"mmmm")</f>
        <v>May</v>
      </c>
      <c r="J245" s="3">
        <f>Table1[[#This Row],[Profit]]/Table1[[#This Row],[Sales Amount]]</f>
        <v>0.76663975083631319</v>
      </c>
    </row>
    <row r="246" spans="1:10" x14ac:dyDescent="0.35">
      <c r="A246" s="1">
        <v>45019</v>
      </c>
      <c r="B246" t="s">
        <v>10</v>
      </c>
      <c r="C246" t="s">
        <v>12</v>
      </c>
      <c r="D246" t="s">
        <v>17</v>
      </c>
      <c r="E246">
        <v>1</v>
      </c>
      <c r="F246">
        <v>428.2</v>
      </c>
      <c r="G246">
        <v>34.39</v>
      </c>
      <c r="H246">
        <f>YEAR(Table1[[#This Row],[Order Date]])</f>
        <v>2023</v>
      </c>
      <c r="I246" t="str">
        <f>TEXT(Table1[[#This Row],[Order Date]],"mmmm")</f>
        <v>April</v>
      </c>
      <c r="J246" s="3">
        <f>Table1[[#This Row],[Profit]]/Table1[[#This Row],[Sales Amount]]</f>
        <v>8.0312937879495561E-2</v>
      </c>
    </row>
    <row r="247" spans="1:10" x14ac:dyDescent="0.35">
      <c r="A247" s="1">
        <v>45085</v>
      </c>
      <c r="B247" t="s">
        <v>10</v>
      </c>
      <c r="C247" t="s">
        <v>12</v>
      </c>
      <c r="D247" t="s">
        <v>21</v>
      </c>
      <c r="E247">
        <v>8</v>
      </c>
      <c r="F247">
        <v>241.47</v>
      </c>
      <c r="G247">
        <v>58.43</v>
      </c>
      <c r="H247">
        <f>YEAR(Table1[[#This Row],[Order Date]])</f>
        <v>2023</v>
      </c>
      <c r="I247" t="str">
        <f>TEXT(Table1[[#This Row],[Order Date]],"mmmm")</f>
        <v>June</v>
      </c>
      <c r="J247" s="3">
        <f>Table1[[#This Row],[Profit]]/Table1[[#This Row],[Sales Amount]]</f>
        <v>0.24197622893113016</v>
      </c>
    </row>
    <row r="248" spans="1:10" x14ac:dyDescent="0.35">
      <c r="A248" s="1">
        <v>44946</v>
      </c>
      <c r="B248" t="s">
        <v>9</v>
      </c>
      <c r="C248" t="s">
        <v>13</v>
      </c>
      <c r="D248" t="s">
        <v>18</v>
      </c>
      <c r="E248">
        <v>1</v>
      </c>
      <c r="F248">
        <v>281.3</v>
      </c>
      <c r="G248">
        <v>92.33</v>
      </c>
      <c r="H248">
        <f>YEAR(Table1[[#This Row],[Order Date]])</f>
        <v>2023</v>
      </c>
      <c r="I248" t="str">
        <f>TEXT(Table1[[#This Row],[Order Date]],"mmmm")</f>
        <v>January</v>
      </c>
      <c r="J248" s="3">
        <f>Table1[[#This Row],[Profit]]/Table1[[#This Row],[Sales Amount]]</f>
        <v>0.32822609313899748</v>
      </c>
    </row>
    <row r="249" spans="1:10" x14ac:dyDescent="0.35">
      <c r="A249" s="1">
        <v>45043</v>
      </c>
      <c r="B249" t="s">
        <v>10</v>
      </c>
      <c r="C249" t="s">
        <v>13</v>
      </c>
      <c r="D249" t="s">
        <v>18</v>
      </c>
      <c r="E249">
        <v>2</v>
      </c>
      <c r="F249">
        <v>406.83</v>
      </c>
      <c r="G249">
        <v>101.7</v>
      </c>
      <c r="H249">
        <f>YEAR(Table1[[#This Row],[Order Date]])</f>
        <v>2023</v>
      </c>
      <c r="I249" t="str">
        <f>TEXT(Table1[[#This Row],[Order Date]],"mmmm")</f>
        <v>April</v>
      </c>
      <c r="J249" s="3">
        <f>Table1[[#This Row],[Profit]]/Table1[[#This Row],[Sales Amount]]</f>
        <v>0.24998156478135833</v>
      </c>
    </row>
    <row r="250" spans="1:10" x14ac:dyDescent="0.35">
      <c r="A250" s="1">
        <v>45112</v>
      </c>
      <c r="B250" t="s">
        <v>10</v>
      </c>
      <c r="C250" t="s">
        <v>11</v>
      </c>
      <c r="D250" t="s">
        <v>22</v>
      </c>
      <c r="E250">
        <v>3</v>
      </c>
      <c r="F250">
        <v>330.33</v>
      </c>
      <c r="G250">
        <v>98.42</v>
      </c>
      <c r="H250">
        <f>YEAR(Table1[[#This Row],[Order Date]])</f>
        <v>2023</v>
      </c>
      <c r="I250" t="str">
        <f>TEXT(Table1[[#This Row],[Order Date]],"mmmm")</f>
        <v>July</v>
      </c>
      <c r="J250" s="3">
        <f>Table1[[#This Row],[Profit]]/Table1[[#This Row],[Sales Amount]]</f>
        <v>0.29794447976266158</v>
      </c>
    </row>
    <row r="251" spans="1:10" x14ac:dyDescent="0.35">
      <c r="A251" s="1">
        <v>45151</v>
      </c>
      <c r="B251" t="s">
        <v>7</v>
      </c>
      <c r="C251" t="s">
        <v>11</v>
      </c>
      <c r="D251" t="s">
        <v>15</v>
      </c>
      <c r="E251">
        <v>8</v>
      </c>
      <c r="F251">
        <v>232.39</v>
      </c>
      <c r="G251">
        <v>94.26</v>
      </c>
      <c r="H251">
        <f>YEAR(Table1[[#This Row],[Order Date]])</f>
        <v>2023</v>
      </c>
      <c r="I251" t="str">
        <f>TEXT(Table1[[#This Row],[Order Date]],"mmmm")</f>
        <v>August</v>
      </c>
      <c r="J251" s="3">
        <f>Table1[[#This Row],[Profit]]/Table1[[#This Row],[Sales Amount]]</f>
        <v>0.40561125693876676</v>
      </c>
    </row>
    <row r="252" spans="1:10" x14ac:dyDescent="0.35">
      <c r="A252" s="1">
        <v>44940</v>
      </c>
      <c r="B252" t="s">
        <v>10</v>
      </c>
      <c r="C252" t="s">
        <v>13</v>
      </c>
      <c r="D252" t="s">
        <v>18</v>
      </c>
      <c r="E252">
        <v>7</v>
      </c>
      <c r="F252">
        <v>235.86</v>
      </c>
      <c r="G252">
        <v>19.68</v>
      </c>
      <c r="H252">
        <f>YEAR(Table1[[#This Row],[Order Date]])</f>
        <v>2023</v>
      </c>
      <c r="I252" t="str">
        <f>TEXT(Table1[[#This Row],[Order Date]],"mmmm")</f>
        <v>January</v>
      </c>
      <c r="J252" s="3">
        <f>Table1[[#This Row],[Profit]]/Table1[[#This Row],[Sales Amount]]</f>
        <v>8.3439328415161537E-2</v>
      </c>
    </row>
    <row r="253" spans="1:10" x14ac:dyDescent="0.35">
      <c r="A253" s="1">
        <v>45244</v>
      </c>
      <c r="B253" t="s">
        <v>10</v>
      </c>
      <c r="C253" t="s">
        <v>12</v>
      </c>
      <c r="D253" t="s">
        <v>21</v>
      </c>
      <c r="E253">
        <v>8</v>
      </c>
      <c r="F253">
        <v>310.74</v>
      </c>
      <c r="G253">
        <v>102.77</v>
      </c>
      <c r="H253">
        <f>YEAR(Table1[[#This Row],[Order Date]])</f>
        <v>2023</v>
      </c>
      <c r="I253" t="str">
        <f>TEXT(Table1[[#This Row],[Order Date]],"mmmm")</f>
        <v>November</v>
      </c>
      <c r="J253" s="3">
        <f>Table1[[#This Row],[Profit]]/Table1[[#This Row],[Sales Amount]]</f>
        <v>0.33072665250691896</v>
      </c>
    </row>
    <row r="254" spans="1:10" x14ac:dyDescent="0.35">
      <c r="A254" s="1">
        <v>45252</v>
      </c>
      <c r="B254" t="s">
        <v>8</v>
      </c>
      <c r="C254" t="s">
        <v>11</v>
      </c>
      <c r="D254" t="s">
        <v>14</v>
      </c>
      <c r="E254">
        <v>9</v>
      </c>
      <c r="F254">
        <v>486.24</v>
      </c>
      <c r="G254">
        <v>46.14</v>
      </c>
      <c r="H254">
        <f>YEAR(Table1[[#This Row],[Order Date]])</f>
        <v>2023</v>
      </c>
      <c r="I254" t="str">
        <f>TEXT(Table1[[#This Row],[Order Date]],"mmmm")</f>
        <v>November</v>
      </c>
      <c r="J254" s="3">
        <f>Table1[[#This Row],[Profit]]/Table1[[#This Row],[Sales Amount]]</f>
        <v>9.489141164856861E-2</v>
      </c>
    </row>
    <row r="255" spans="1:10" x14ac:dyDescent="0.35">
      <c r="A255" s="1">
        <v>45187</v>
      </c>
      <c r="B255" t="s">
        <v>7</v>
      </c>
      <c r="C255" t="s">
        <v>12</v>
      </c>
      <c r="D255" t="s">
        <v>21</v>
      </c>
      <c r="E255">
        <v>8</v>
      </c>
      <c r="F255">
        <v>319.42</v>
      </c>
      <c r="G255">
        <v>65.53</v>
      </c>
      <c r="H255">
        <f>YEAR(Table1[[#This Row],[Order Date]])</f>
        <v>2023</v>
      </c>
      <c r="I255" t="str">
        <f>TEXT(Table1[[#This Row],[Order Date]],"mmmm")</f>
        <v>September</v>
      </c>
      <c r="J255" s="3">
        <f>Table1[[#This Row],[Profit]]/Table1[[#This Row],[Sales Amount]]</f>
        <v>0.20515308997558074</v>
      </c>
    </row>
    <row r="256" spans="1:10" x14ac:dyDescent="0.35">
      <c r="A256" s="1">
        <v>45229</v>
      </c>
      <c r="B256" t="s">
        <v>7</v>
      </c>
      <c r="C256" t="s">
        <v>11</v>
      </c>
      <c r="D256" t="s">
        <v>14</v>
      </c>
      <c r="E256">
        <v>3</v>
      </c>
      <c r="F256">
        <v>248.91</v>
      </c>
      <c r="G256">
        <v>56.32</v>
      </c>
      <c r="H256">
        <f>YEAR(Table1[[#This Row],[Order Date]])</f>
        <v>2023</v>
      </c>
      <c r="I256" t="str">
        <f>TEXT(Table1[[#This Row],[Order Date]],"mmmm")</f>
        <v>October</v>
      </c>
      <c r="J256" s="3">
        <f>Table1[[#This Row],[Profit]]/Table1[[#This Row],[Sales Amount]]</f>
        <v>0.22626652203607731</v>
      </c>
    </row>
    <row r="257" spans="1:10" x14ac:dyDescent="0.35">
      <c r="A257" s="1">
        <v>45192</v>
      </c>
      <c r="B257" t="s">
        <v>9</v>
      </c>
      <c r="C257" t="s">
        <v>12</v>
      </c>
      <c r="D257" t="s">
        <v>16</v>
      </c>
      <c r="E257">
        <v>9</v>
      </c>
      <c r="F257">
        <v>243.9</v>
      </c>
      <c r="G257">
        <v>44.82</v>
      </c>
      <c r="H257">
        <f>YEAR(Table1[[#This Row],[Order Date]])</f>
        <v>2023</v>
      </c>
      <c r="I257" t="str">
        <f>TEXT(Table1[[#This Row],[Order Date]],"mmmm")</f>
        <v>September</v>
      </c>
      <c r="J257" s="3">
        <f>Table1[[#This Row],[Profit]]/Table1[[#This Row],[Sales Amount]]</f>
        <v>0.18376383763837639</v>
      </c>
    </row>
    <row r="258" spans="1:10" x14ac:dyDescent="0.35">
      <c r="A258" s="1">
        <v>44927</v>
      </c>
      <c r="B258" t="s">
        <v>8</v>
      </c>
      <c r="C258" t="s">
        <v>11</v>
      </c>
      <c r="D258" t="s">
        <v>15</v>
      </c>
      <c r="E258">
        <v>4</v>
      </c>
      <c r="F258">
        <v>220.71</v>
      </c>
      <c r="G258">
        <v>94.78</v>
      </c>
      <c r="H258">
        <f>YEAR(Table1[[#This Row],[Order Date]])</f>
        <v>2023</v>
      </c>
      <c r="I258" t="str">
        <f>TEXT(Table1[[#This Row],[Order Date]],"mmmm")</f>
        <v>January</v>
      </c>
      <c r="J258" s="3">
        <f>Table1[[#This Row],[Profit]]/Table1[[#This Row],[Sales Amount]]</f>
        <v>0.42943228671106881</v>
      </c>
    </row>
    <row r="259" spans="1:10" x14ac:dyDescent="0.35">
      <c r="A259" s="1">
        <v>45130</v>
      </c>
      <c r="B259" t="s">
        <v>8</v>
      </c>
      <c r="C259" t="s">
        <v>11</v>
      </c>
      <c r="D259" t="s">
        <v>22</v>
      </c>
      <c r="E259">
        <v>1</v>
      </c>
      <c r="F259">
        <v>367.42</v>
      </c>
      <c r="G259">
        <v>72.489999999999995</v>
      </c>
      <c r="H259">
        <f>YEAR(Table1[[#This Row],[Order Date]])</f>
        <v>2023</v>
      </c>
      <c r="I259" t="str">
        <f>TEXT(Table1[[#This Row],[Order Date]],"mmmm")</f>
        <v>July</v>
      </c>
      <c r="J259" s="3">
        <f>Table1[[#This Row],[Profit]]/Table1[[#This Row],[Sales Amount]]</f>
        <v>0.19729464917533066</v>
      </c>
    </row>
    <row r="260" spans="1:10" x14ac:dyDescent="0.35">
      <c r="A260" s="1">
        <v>45133</v>
      </c>
      <c r="B260" t="s">
        <v>10</v>
      </c>
      <c r="C260" t="s">
        <v>11</v>
      </c>
      <c r="D260" t="s">
        <v>14</v>
      </c>
      <c r="E260">
        <v>4</v>
      </c>
      <c r="F260">
        <v>171.39</v>
      </c>
      <c r="G260">
        <v>17.989999999999998</v>
      </c>
      <c r="H260">
        <f>YEAR(Table1[[#This Row],[Order Date]])</f>
        <v>2023</v>
      </c>
      <c r="I260" t="str">
        <f>TEXT(Table1[[#This Row],[Order Date]],"mmmm")</f>
        <v>July</v>
      </c>
      <c r="J260" s="3">
        <f>Table1[[#This Row],[Profit]]/Table1[[#This Row],[Sales Amount]]</f>
        <v>0.10496528385553416</v>
      </c>
    </row>
    <row r="261" spans="1:10" x14ac:dyDescent="0.35">
      <c r="A261" s="1">
        <v>45219</v>
      </c>
      <c r="B261" t="s">
        <v>9</v>
      </c>
      <c r="C261" t="s">
        <v>11</v>
      </c>
      <c r="D261" t="s">
        <v>15</v>
      </c>
      <c r="E261">
        <v>1</v>
      </c>
      <c r="F261">
        <v>104.95</v>
      </c>
      <c r="G261">
        <v>73.31</v>
      </c>
      <c r="H261">
        <f>YEAR(Table1[[#This Row],[Order Date]])</f>
        <v>2023</v>
      </c>
      <c r="I261" t="str">
        <f>TEXT(Table1[[#This Row],[Order Date]],"mmmm")</f>
        <v>October</v>
      </c>
      <c r="J261" s="3">
        <f>Table1[[#This Row],[Profit]]/Table1[[#This Row],[Sales Amount]]</f>
        <v>0.69852310624106717</v>
      </c>
    </row>
    <row r="262" spans="1:10" x14ac:dyDescent="0.35">
      <c r="A262" s="1">
        <v>44985</v>
      </c>
      <c r="B262" t="s">
        <v>8</v>
      </c>
      <c r="C262" t="s">
        <v>12</v>
      </c>
      <c r="D262" t="s">
        <v>21</v>
      </c>
      <c r="E262">
        <v>1</v>
      </c>
      <c r="F262">
        <v>313.10000000000002</v>
      </c>
      <c r="G262">
        <v>106.35</v>
      </c>
      <c r="H262">
        <f>YEAR(Table1[[#This Row],[Order Date]])</f>
        <v>2023</v>
      </c>
      <c r="I262" t="str">
        <f>TEXT(Table1[[#This Row],[Order Date]],"mmmm")</f>
        <v>February</v>
      </c>
      <c r="J262" s="3">
        <f>Table1[[#This Row],[Profit]]/Table1[[#This Row],[Sales Amount]]</f>
        <v>0.33966783775151704</v>
      </c>
    </row>
    <row r="263" spans="1:10" x14ac:dyDescent="0.35">
      <c r="A263" s="1">
        <v>45168</v>
      </c>
      <c r="B263" t="s">
        <v>9</v>
      </c>
      <c r="C263" t="s">
        <v>12</v>
      </c>
      <c r="D263" t="s">
        <v>17</v>
      </c>
      <c r="E263">
        <v>2</v>
      </c>
      <c r="F263">
        <v>195.41</v>
      </c>
      <c r="G263">
        <v>146.22999999999999</v>
      </c>
      <c r="H263">
        <f>YEAR(Table1[[#This Row],[Order Date]])</f>
        <v>2023</v>
      </c>
      <c r="I263" t="str">
        <f>TEXT(Table1[[#This Row],[Order Date]],"mmmm")</f>
        <v>August</v>
      </c>
      <c r="J263" s="3">
        <f>Table1[[#This Row],[Profit]]/Table1[[#This Row],[Sales Amount]]</f>
        <v>0.74832403664090885</v>
      </c>
    </row>
    <row r="264" spans="1:10" x14ac:dyDescent="0.35">
      <c r="A264" s="1">
        <v>45149</v>
      </c>
      <c r="B264" t="s">
        <v>9</v>
      </c>
      <c r="C264" t="s">
        <v>11</v>
      </c>
      <c r="D264" t="s">
        <v>14</v>
      </c>
      <c r="E264">
        <v>2</v>
      </c>
      <c r="F264">
        <v>204.19</v>
      </c>
      <c r="G264">
        <v>84.51</v>
      </c>
      <c r="H264">
        <f>YEAR(Table1[[#This Row],[Order Date]])</f>
        <v>2023</v>
      </c>
      <c r="I264" t="str">
        <f>TEXT(Table1[[#This Row],[Order Date]],"mmmm")</f>
        <v>August</v>
      </c>
      <c r="J264" s="3">
        <f>Table1[[#This Row],[Profit]]/Table1[[#This Row],[Sales Amount]]</f>
        <v>0.41387923012880162</v>
      </c>
    </row>
    <row r="265" spans="1:10" x14ac:dyDescent="0.35">
      <c r="A265" s="1">
        <v>45052</v>
      </c>
      <c r="B265" t="s">
        <v>8</v>
      </c>
      <c r="C265" t="s">
        <v>11</v>
      </c>
      <c r="D265" t="s">
        <v>15</v>
      </c>
      <c r="E265">
        <v>7</v>
      </c>
      <c r="F265">
        <v>123.07</v>
      </c>
      <c r="G265">
        <v>36.369999999999997</v>
      </c>
      <c r="H265">
        <f>YEAR(Table1[[#This Row],[Order Date]])</f>
        <v>2023</v>
      </c>
      <c r="I265" t="str">
        <f>TEXT(Table1[[#This Row],[Order Date]],"mmmm")</f>
        <v>May</v>
      </c>
      <c r="J265" s="3">
        <f>Table1[[#This Row],[Profit]]/Table1[[#This Row],[Sales Amount]]</f>
        <v>0.29552287316161535</v>
      </c>
    </row>
    <row r="266" spans="1:10" x14ac:dyDescent="0.35">
      <c r="A266" s="1">
        <v>45190</v>
      </c>
      <c r="B266" t="s">
        <v>8</v>
      </c>
      <c r="C266" t="s">
        <v>11</v>
      </c>
      <c r="D266" t="s">
        <v>15</v>
      </c>
      <c r="E266">
        <v>5</v>
      </c>
      <c r="F266">
        <v>483.51</v>
      </c>
      <c r="G266">
        <v>45.74</v>
      </c>
      <c r="H266">
        <f>YEAR(Table1[[#This Row],[Order Date]])</f>
        <v>2023</v>
      </c>
      <c r="I266" t="str">
        <f>TEXT(Table1[[#This Row],[Order Date]],"mmmm")</f>
        <v>September</v>
      </c>
      <c r="J266" s="3">
        <f>Table1[[#This Row],[Profit]]/Table1[[#This Row],[Sales Amount]]</f>
        <v>9.4599904862360654E-2</v>
      </c>
    </row>
    <row r="267" spans="1:10" x14ac:dyDescent="0.35">
      <c r="A267" s="1">
        <v>45237</v>
      </c>
      <c r="B267" t="s">
        <v>7</v>
      </c>
      <c r="C267" t="s">
        <v>12</v>
      </c>
      <c r="D267" t="s">
        <v>16</v>
      </c>
      <c r="E267">
        <v>2</v>
      </c>
      <c r="F267">
        <v>159.87</v>
      </c>
      <c r="G267">
        <v>126.32</v>
      </c>
      <c r="H267">
        <f>YEAR(Table1[[#This Row],[Order Date]])</f>
        <v>2023</v>
      </c>
      <c r="I267" t="str">
        <f>TEXT(Table1[[#This Row],[Order Date]],"mmmm")</f>
        <v>November</v>
      </c>
      <c r="J267" s="3">
        <f>Table1[[#This Row],[Profit]]/Table1[[#This Row],[Sales Amount]]</f>
        <v>0.79014199036717325</v>
      </c>
    </row>
    <row r="268" spans="1:10" x14ac:dyDescent="0.35">
      <c r="A268" s="1">
        <v>45158</v>
      </c>
      <c r="B268" t="s">
        <v>8</v>
      </c>
      <c r="C268" t="s">
        <v>11</v>
      </c>
      <c r="D268" t="s">
        <v>14</v>
      </c>
      <c r="E268">
        <v>8</v>
      </c>
      <c r="F268">
        <v>407.98</v>
      </c>
      <c r="G268">
        <v>138.61000000000001</v>
      </c>
      <c r="H268">
        <f>YEAR(Table1[[#This Row],[Order Date]])</f>
        <v>2023</v>
      </c>
      <c r="I268" t="str">
        <f>TEXT(Table1[[#This Row],[Order Date]],"mmmm")</f>
        <v>August</v>
      </c>
      <c r="J268" s="3">
        <f>Table1[[#This Row],[Profit]]/Table1[[#This Row],[Sales Amount]]</f>
        <v>0.33974704642384435</v>
      </c>
    </row>
    <row r="269" spans="1:10" x14ac:dyDescent="0.35">
      <c r="A269" s="1">
        <v>45073</v>
      </c>
      <c r="B269" t="s">
        <v>7</v>
      </c>
      <c r="C269" t="s">
        <v>12</v>
      </c>
      <c r="D269" t="s">
        <v>16</v>
      </c>
      <c r="E269">
        <v>5</v>
      </c>
      <c r="F269">
        <v>350.14</v>
      </c>
      <c r="G269">
        <v>90.81</v>
      </c>
      <c r="H269">
        <f>YEAR(Table1[[#This Row],[Order Date]])</f>
        <v>2023</v>
      </c>
      <c r="I269" t="str">
        <f>TEXT(Table1[[#This Row],[Order Date]],"mmmm")</f>
        <v>May</v>
      </c>
      <c r="J269" s="3">
        <f>Table1[[#This Row],[Profit]]/Table1[[#This Row],[Sales Amount]]</f>
        <v>0.25935340149654423</v>
      </c>
    </row>
    <row r="270" spans="1:10" x14ac:dyDescent="0.35">
      <c r="A270" s="1">
        <v>45146</v>
      </c>
      <c r="B270" t="s">
        <v>10</v>
      </c>
      <c r="C270" t="s">
        <v>13</v>
      </c>
      <c r="D270" t="s">
        <v>18</v>
      </c>
      <c r="E270">
        <v>6</v>
      </c>
      <c r="F270">
        <v>193.15</v>
      </c>
      <c r="G270">
        <v>131.30000000000001</v>
      </c>
      <c r="H270">
        <f>YEAR(Table1[[#This Row],[Order Date]])</f>
        <v>2023</v>
      </c>
      <c r="I270" t="str">
        <f>TEXT(Table1[[#This Row],[Order Date]],"mmmm")</f>
        <v>August</v>
      </c>
      <c r="J270" s="3">
        <f>Table1[[#This Row],[Profit]]/Table1[[#This Row],[Sales Amount]]</f>
        <v>0.67978255242039864</v>
      </c>
    </row>
    <row r="271" spans="1:10" x14ac:dyDescent="0.35">
      <c r="A271" s="1">
        <v>45102</v>
      </c>
      <c r="B271" t="s">
        <v>8</v>
      </c>
      <c r="C271" t="s">
        <v>12</v>
      </c>
      <c r="D271" t="s">
        <v>21</v>
      </c>
      <c r="E271">
        <v>5</v>
      </c>
      <c r="F271">
        <v>305.16000000000003</v>
      </c>
      <c r="G271">
        <v>113.38</v>
      </c>
      <c r="H271">
        <f>YEAR(Table1[[#This Row],[Order Date]])</f>
        <v>2023</v>
      </c>
      <c r="I271" t="str">
        <f>TEXT(Table1[[#This Row],[Order Date]],"mmmm")</f>
        <v>June</v>
      </c>
      <c r="J271" s="3">
        <f>Table1[[#This Row],[Profit]]/Table1[[#This Row],[Sales Amount]]</f>
        <v>0.37154279722112987</v>
      </c>
    </row>
    <row r="272" spans="1:10" x14ac:dyDescent="0.35">
      <c r="A272" s="1">
        <v>45028</v>
      </c>
      <c r="B272" t="s">
        <v>10</v>
      </c>
      <c r="C272" t="s">
        <v>13</v>
      </c>
      <c r="D272" t="s">
        <v>18</v>
      </c>
      <c r="E272">
        <v>3</v>
      </c>
      <c r="F272">
        <v>413.53</v>
      </c>
      <c r="G272">
        <v>116.72</v>
      </c>
      <c r="H272">
        <f>YEAR(Table1[[#This Row],[Order Date]])</f>
        <v>2023</v>
      </c>
      <c r="I272" t="str">
        <f>TEXT(Table1[[#This Row],[Order Date]],"mmmm")</f>
        <v>April</v>
      </c>
      <c r="J272" s="3">
        <f>Table1[[#This Row],[Profit]]/Table1[[#This Row],[Sales Amount]]</f>
        <v>0.2822527990714096</v>
      </c>
    </row>
    <row r="273" spans="1:10" x14ac:dyDescent="0.35">
      <c r="A273" s="1">
        <v>45205</v>
      </c>
      <c r="B273" t="s">
        <v>7</v>
      </c>
      <c r="C273" t="s">
        <v>12</v>
      </c>
      <c r="D273" t="s">
        <v>21</v>
      </c>
      <c r="E273">
        <v>1</v>
      </c>
      <c r="F273">
        <v>104.09</v>
      </c>
      <c r="G273">
        <v>86.23</v>
      </c>
      <c r="H273">
        <f>YEAR(Table1[[#This Row],[Order Date]])</f>
        <v>2023</v>
      </c>
      <c r="I273" t="str">
        <f>TEXT(Table1[[#This Row],[Order Date]],"mmmm")</f>
        <v>October</v>
      </c>
      <c r="J273" s="3">
        <f>Table1[[#This Row],[Profit]]/Table1[[#This Row],[Sales Amount]]</f>
        <v>0.8284177154385628</v>
      </c>
    </row>
    <row r="274" spans="1:10" x14ac:dyDescent="0.35">
      <c r="A274" s="1">
        <v>45139</v>
      </c>
      <c r="B274" t="s">
        <v>7</v>
      </c>
      <c r="C274" t="s">
        <v>12</v>
      </c>
      <c r="D274" t="s">
        <v>21</v>
      </c>
      <c r="E274">
        <v>7</v>
      </c>
      <c r="F274">
        <v>303.55</v>
      </c>
      <c r="G274">
        <v>63.26</v>
      </c>
      <c r="H274">
        <f>YEAR(Table1[[#This Row],[Order Date]])</f>
        <v>2023</v>
      </c>
      <c r="I274" t="str">
        <f>TEXT(Table1[[#This Row],[Order Date]],"mmmm")</f>
        <v>August</v>
      </c>
      <c r="J274" s="3">
        <f>Table1[[#This Row],[Profit]]/Table1[[#This Row],[Sales Amount]]</f>
        <v>0.20840059298303409</v>
      </c>
    </row>
    <row r="275" spans="1:10" x14ac:dyDescent="0.35">
      <c r="A275" s="1">
        <v>45231</v>
      </c>
      <c r="B275" t="s">
        <v>9</v>
      </c>
      <c r="C275" t="s">
        <v>12</v>
      </c>
      <c r="D275" t="s">
        <v>21</v>
      </c>
      <c r="E275">
        <v>3</v>
      </c>
      <c r="F275">
        <v>152.27000000000001</v>
      </c>
      <c r="G275">
        <v>20.25</v>
      </c>
      <c r="H275">
        <f>YEAR(Table1[[#This Row],[Order Date]])</f>
        <v>2023</v>
      </c>
      <c r="I275" t="str">
        <f>TEXT(Table1[[#This Row],[Order Date]],"mmmm")</f>
        <v>November</v>
      </c>
      <c r="J275" s="3">
        <f>Table1[[#This Row],[Profit]]/Table1[[#This Row],[Sales Amount]]</f>
        <v>0.13298745649175805</v>
      </c>
    </row>
    <row r="276" spans="1:10" x14ac:dyDescent="0.35">
      <c r="A276" s="1">
        <v>45036</v>
      </c>
      <c r="B276" t="s">
        <v>10</v>
      </c>
      <c r="C276" t="s">
        <v>11</v>
      </c>
      <c r="D276" t="s">
        <v>15</v>
      </c>
      <c r="E276">
        <v>2</v>
      </c>
      <c r="F276">
        <v>258.57</v>
      </c>
      <c r="G276">
        <v>63.17</v>
      </c>
      <c r="H276">
        <f>YEAR(Table1[[#This Row],[Order Date]])</f>
        <v>2023</v>
      </c>
      <c r="I276" t="str">
        <f>TEXT(Table1[[#This Row],[Order Date]],"mmmm")</f>
        <v>April</v>
      </c>
      <c r="J276" s="3">
        <f>Table1[[#This Row],[Profit]]/Table1[[#This Row],[Sales Amount]]</f>
        <v>0.2443052171558959</v>
      </c>
    </row>
    <row r="277" spans="1:10" x14ac:dyDescent="0.35">
      <c r="A277" s="1">
        <v>45254</v>
      </c>
      <c r="B277" t="s">
        <v>9</v>
      </c>
      <c r="C277" t="s">
        <v>13</v>
      </c>
      <c r="D277" t="s">
        <v>18</v>
      </c>
      <c r="E277">
        <v>6</v>
      </c>
      <c r="F277">
        <v>461.41</v>
      </c>
      <c r="G277">
        <v>123.93</v>
      </c>
      <c r="H277">
        <f>YEAR(Table1[[#This Row],[Order Date]])</f>
        <v>2023</v>
      </c>
      <c r="I277" t="str">
        <f>TEXT(Table1[[#This Row],[Order Date]],"mmmm")</f>
        <v>November</v>
      </c>
      <c r="J277" s="3">
        <f>Table1[[#This Row],[Profit]]/Table1[[#This Row],[Sales Amount]]</f>
        <v>0.2685897574824993</v>
      </c>
    </row>
    <row r="278" spans="1:10" x14ac:dyDescent="0.35">
      <c r="A278" s="1">
        <v>44938</v>
      </c>
      <c r="B278" t="s">
        <v>8</v>
      </c>
      <c r="C278" t="s">
        <v>12</v>
      </c>
      <c r="D278" t="s">
        <v>16</v>
      </c>
      <c r="E278">
        <v>5</v>
      </c>
      <c r="F278">
        <v>160.72999999999999</v>
      </c>
      <c r="G278">
        <v>76.739999999999995</v>
      </c>
      <c r="H278">
        <f>YEAR(Table1[[#This Row],[Order Date]])</f>
        <v>2023</v>
      </c>
      <c r="I278" t="str">
        <f>TEXT(Table1[[#This Row],[Order Date]],"mmmm")</f>
        <v>January</v>
      </c>
      <c r="J278" s="3">
        <f>Table1[[#This Row],[Profit]]/Table1[[#This Row],[Sales Amount]]</f>
        <v>0.47744664966092204</v>
      </c>
    </row>
    <row r="279" spans="1:10" x14ac:dyDescent="0.35">
      <c r="A279" s="1">
        <v>45269</v>
      </c>
      <c r="B279" t="s">
        <v>10</v>
      </c>
      <c r="C279" t="s">
        <v>11</v>
      </c>
      <c r="D279" t="s">
        <v>15</v>
      </c>
      <c r="E279">
        <v>2</v>
      </c>
      <c r="F279">
        <v>371.97</v>
      </c>
      <c r="G279">
        <v>82.97</v>
      </c>
      <c r="H279">
        <f>YEAR(Table1[[#This Row],[Order Date]])</f>
        <v>2023</v>
      </c>
      <c r="I279" t="str">
        <f>TEXT(Table1[[#This Row],[Order Date]],"mmmm")</f>
        <v>December</v>
      </c>
      <c r="J279" s="3">
        <f>Table1[[#This Row],[Profit]]/Table1[[#This Row],[Sales Amount]]</f>
        <v>0.22305562276527674</v>
      </c>
    </row>
    <row r="280" spans="1:10" x14ac:dyDescent="0.35">
      <c r="A280" s="1">
        <v>45033</v>
      </c>
      <c r="B280" t="s">
        <v>7</v>
      </c>
      <c r="C280" t="s">
        <v>12</v>
      </c>
      <c r="D280" t="s">
        <v>17</v>
      </c>
      <c r="E280">
        <v>5</v>
      </c>
      <c r="F280">
        <v>454.11</v>
      </c>
      <c r="G280">
        <v>44.09</v>
      </c>
      <c r="H280">
        <f>YEAR(Table1[[#This Row],[Order Date]])</f>
        <v>2023</v>
      </c>
      <c r="I280" t="str">
        <f>TEXT(Table1[[#This Row],[Order Date]],"mmmm")</f>
        <v>April</v>
      </c>
      <c r="J280" s="3">
        <f>Table1[[#This Row],[Profit]]/Table1[[#This Row],[Sales Amount]]</f>
        <v>9.7091013190636635E-2</v>
      </c>
    </row>
    <row r="281" spans="1:10" x14ac:dyDescent="0.35">
      <c r="A281" s="1">
        <v>44977</v>
      </c>
      <c r="B281" t="s">
        <v>7</v>
      </c>
      <c r="C281" t="s">
        <v>11</v>
      </c>
      <c r="D281" t="s">
        <v>22</v>
      </c>
      <c r="E281">
        <v>6</v>
      </c>
      <c r="F281">
        <v>137.55000000000001</v>
      </c>
      <c r="G281">
        <v>33.29</v>
      </c>
      <c r="H281">
        <f>YEAR(Table1[[#This Row],[Order Date]])</f>
        <v>2023</v>
      </c>
      <c r="I281" t="str">
        <f>TEXT(Table1[[#This Row],[Order Date]],"mmmm")</f>
        <v>February</v>
      </c>
      <c r="J281" s="3">
        <f>Table1[[#This Row],[Profit]]/Table1[[#This Row],[Sales Amount]]</f>
        <v>0.24202108324245727</v>
      </c>
    </row>
    <row r="282" spans="1:10" x14ac:dyDescent="0.35">
      <c r="A282" s="1">
        <v>44978</v>
      </c>
      <c r="B282" t="s">
        <v>10</v>
      </c>
      <c r="C282" t="s">
        <v>12</v>
      </c>
      <c r="D282" t="s">
        <v>17</v>
      </c>
      <c r="E282">
        <v>3</v>
      </c>
      <c r="F282">
        <v>311.42</v>
      </c>
      <c r="G282">
        <v>22.55</v>
      </c>
      <c r="H282">
        <f>YEAR(Table1[[#This Row],[Order Date]])</f>
        <v>2023</v>
      </c>
      <c r="I282" t="str">
        <f>TEXT(Table1[[#This Row],[Order Date]],"mmmm")</f>
        <v>February</v>
      </c>
      <c r="J282" s="3">
        <f>Table1[[#This Row],[Profit]]/Table1[[#This Row],[Sales Amount]]</f>
        <v>7.241024982338963E-2</v>
      </c>
    </row>
    <row r="283" spans="1:10" x14ac:dyDescent="0.35">
      <c r="A283" s="1">
        <v>45072</v>
      </c>
      <c r="B283" t="s">
        <v>10</v>
      </c>
      <c r="C283" t="s">
        <v>13</v>
      </c>
      <c r="D283" t="s">
        <v>20</v>
      </c>
      <c r="E283">
        <v>4</v>
      </c>
      <c r="F283">
        <v>420.43</v>
      </c>
      <c r="G283">
        <v>83.15</v>
      </c>
      <c r="H283">
        <f>YEAR(Table1[[#This Row],[Order Date]])</f>
        <v>2023</v>
      </c>
      <c r="I283" t="str">
        <f>TEXT(Table1[[#This Row],[Order Date]],"mmmm")</f>
        <v>May</v>
      </c>
      <c r="J283" s="3">
        <f>Table1[[#This Row],[Profit]]/Table1[[#This Row],[Sales Amount]]</f>
        <v>0.19777370787051354</v>
      </c>
    </row>
    <row r="284" spans="1:10" x14ac:dyDescent="0.35">
      <c r="A284" s="1">
        <v>45277</v>
      </c>
      <c r="B284" t="s">
        <v>9</v>
      </c>
      <c r="C284" t="s">
        <v>11</v>
      </c>
      <c r="D284" t="s">
        <v>15</v>
      </c>
      <c r="E284">
        <v>7</v>
      </c>
      <c r="F284">
        <v>286.32</v>
      </c>
      <c r="G284">
        <v>109.27</v>
      </c>
      <c r="H284">
        <f>YEAR(Table1[[#This Row],[Order Date]])</f>
        <v>2023</v>
      </c>
      <c r="I284" t="str">
        <f>TEXT(Table1[[#This Row],[Order Date]],"mmmm")</f>
        <v>December</v>
      </c>
      <c r="J284" s="3">
        <f>Table1[[#This Row],[Profit]]/Table1[[#This Row],[Sales Amount]]</f>
        <v>0.38163593182453198</v>
      </c>
    </row>
    <row r="285" spans="1:10" x14ac:dyDescent="0.35">
      <c r="A285" s="1">
        <v>45224</v>
      </c>
      <c r="B285" t="s">
        <v>9</v>
      </c>
      <c r="C285" t="s">
        <v>12</v>
      </c>
      <c r="D285" t="s">
        <v>16</v>
      </c>
      <c r="E285">
        <v>7</v>
      </c>
      <c r="F285">
        <v>417.09</v>
      </c>
      <c r="G285">
        <v>62.29</v>
      </c>
      <c r="H285">
        <f>YEAR(Table1[[#This Row],[Order Date]])</f>
        <v>2023</v>
      </c>
      <c r="I285" t="str">
        <f>TEXT(Table1[[#This Row],[Order Date]],"mmmm")</f>
        <v>October</v>
      </c>
      <c r="J285" s="3">
        <f>Table1[[#This Row],[Profit]]/Table1[[#This Row],[Sales Amount]]</f>
        <v>0.14934426622551489</v>
      </c>
    </row>
    <row r="286" spans="1:10" x14ac:dyDescent="0.35">
      <c r="A286" s="1">
        <v>45288</v>
      </c>
      <c r="B286" t="s">
        <v>7</v>
      </c>
      <c r="C286" t="s">
        <v>12</v>
      </c>
      <c r="D286" t="s">
        <v>17</v>
      </c>
      <c r="E286">
        <v>7</v>
      </c>
      <c r="F286">
        <v>337.09</v>
      </c>
      <c r="G286">
        <v>82.12</v>
      </c>
      <c r="H286">
        <f>YEAR(Table1[[#This Row],[Order Date]])</f>
        <v>2023</v>
      </c>
      <c r="I286" t="str">
        <f>TEXT(Table1[[#This Row],[Order Date]],"mmmm")</f>
        <v>December</v>
      </c>
      <c r="J286" s="3">
        <f>Table1[[#This Row],[Profit]]/Table1[[#This Row],[Sales Amount]]</f>
        <v>0.24361446497967906</v>
      </c>
    </row>
    <row r="287" spans="1:10" x14ac:dyDescent="0.35">
      <c r="A287" s="1">
        <v>44952</v>
      </c>
      <c r="B287" t="s">
        <v>8</v>
      </c>
      <c r="C287" t="s">
        <v>12</v>
      </c>
      <c r="D287" t="s">
        <v>17</v>
      </c>
      <c r="E287">
        <v>8</v>
      </c>
      <c r="F287">
        <v>234.96</v>
      </c>
      <c r="G287">
        <v>127.58</v>
      </c>
      <c r="H287">
        <f>YEAR(Table1[[#This Row],[Order Date]])</f>
        <v>2023</v>
      </c>
      <c r="I287" t="str">
        <f>TEXT(Table1[[#This Row],[Order Date]],"mmmm")</f>
        <v>January</v>
      </c>
      <c r="J287" s="3">
        <f>Table1[[#This Row],[Profit]]/Table1[[#This Row],[Sales Amount]]</f>
        <v>0.54298604017705143</v>
      </c>
    </row>
    <row r="288" spans="1:10" x14ac:dyDescent="0.35">
      <c r="A288" s="1">
        <v>45080</v>
      </c>
      <c r="B288" t="s">
        <v>7</v>
      </c>
      <c r="C288" t="s">
        <v>12</v>
      </c>
      <c r="D288" t="s">
        <v>21</v>
      </c>
      <c r="E288">
        <v>4</v>
      </c>
      <c r="F288">
        <v>173.66</v>
      </c>
      <c r="G288">
        <v>125.17</v>
      </c>
      <c r="H288">
        <f>YEAR(Table1[[#This Row],[Order Date]])</f>
        <v>2023</v>
      </c>
      <c r="I288" t="str">
        <f>TEXT(Table1[[#This Row],[Order Date]],"mmmm")</f>
        <v>June</v>
      </c>
      <c r="J288" s="3">
        <f>Table1[[#This Row],[Profit]]/Table1[[#This Row],[Sales Amount]]</f>
        <v>0.72077622941379715</v>
      </c>
    </row>
    <row r="289" spans="1:10" x14ac:dyDescent="0.35">
      <c r="A289" s="1">
        <v>45128</v>
      </c>
      <c r="B289" t="s">
        <v>8</v>
      </c>
      <c r="C289" t="s">
        <v>11</v>
      </c>
      <c r="D289" t="s">
        <v>15</v>
      </c>
      <c r="E289">
        <v>3</v>
      </c>
      <c r="F289">
        <v>330.74</v>
      </c>
      <c r="G289">
        <v>73.25</v>
      </c>
      <c r="H289">
        <f>YEAR(Table1[[#This Row],[Order Date]])</f>
        <v>2023</v>
      </c>
      <c r="I289" t="str">
        <f>TEXT(Table1[[#This Row],[Order Date]],"mmmm")</f>
        <v>July</v>
      </c>
      <c r="J289" s="3">
        <f>Table1[[#This Row],[Profit]]/Table1[[#This Row],[Sales Amount]]</f>
        <v>0.22147306040998971</v>
      </c>
    </row>
    <row r="290" spans="1:10" x14ac:dyDescent="0.35">
      <c r="A290" s="1">
        <v>44995</v>
      </c>
      <c r="B290" t="s">
        <v>7</v>
      </c>
      <c r="C290" t="s">
        <v>13</v>
      </c>
      <c r="D290" t="s">
        <v>20</v>
      </c>
      <c r="E290">
        <v>3</v>
      </c>
      <c r="F290">
        <v>441.17</v>
      </c>
      <c r="G290">
        <v>76.2</v>
      </c>
      <c r="H290">
        <f>YEAR(Table1[[#This Row],[Order Date]])</f>
        <v>2023</v>
      </c>
      <c r="I290" t="str">
        <f>TEXT(Table1[[#This Row],[Order Date]],"mmmm")</f>
        <v>March</v>
      </c>
      <c r="J290" s="3">
        <f>Table1[[#This Row],[Profit]]/Table1[[#This Row],[Sales Amount]]</f>
        <v>0.1727225332638212</v>
      </c>
    </row>
    <row r="291" spans="1:10" x14ac:dyDescent="0.35">
      <c r="A291" s="1">
        <v>45076</v>
      </c>
      <c r="B291" t="s">
        <v>9</v>
      </c>
      <c r="C291" t="s">
        <v>12</v>
      </c>
      <c r="D291" t="s">
        <v>21</v>
      </c>
      <c r="E291">
        <v>3</v>
      </c>
      <c r="F291">
        <v>323.19</v>
      </c>
      <c r="G291">
        <v>86.54</v>
      </c>
      <c r="H291">
        <f>YEAR(Table1[[#This Row],[Order Date]])</f>
        <v>2023</v>
      </c>
      <c r="I291" t="str">
        <f>TEXT(Table1[[#This Row],[Order Date]],"mmmm")</f>
        <v>May</v>
      </c>
      <c r="J291" s="3">
        <f>Table1[[#This Row],[Profit]]/Table1[[#This Row],[Sales Amount]]</f>
        <v>0.26776818589684087</v>
      </c>
    </row>
    <row r="292" spans="1:10" x14ac:dyDescent="0.35">
      <c r="A292" s="1">
        <v>45004</v>
      </c>
      <c r="B292" t="s">
        <v>8</v>
      </c>
      <c r="C292" t="s">
        <v>13</v>
      </c>
      <c r="D292" t="s">
        <v>20</v>
      </c>
      <c r="E292">
        <v>9</v>
      </c>
      <c r="F292">
        <v>273.55</v>
      </c>
      <c r="G292">
        <v>148.29</v>
      </c>
      <c r="H292">
        <f>YEAR(Table1[[#This Row],[Order Date]])</f>
        <v>2023</v>
      </c>
      <c r="I292" t="str">
        <f>TEXT(Table1[[#This Row],[Order Date]],"mmmm")</f>
        <v>March</v>
      </c>
      <c r="J292" s="3">
        <f>Table1[[#This Row],[Profit]]/Table1[[#This Row],[Sales Amount]]</f>
        <v>0.54209468104551262</v>
      </c>
    </row>
    <row r="293" spans="1:10" x14ac:dyDescent="0.35">
      <c r="A293" s="1">
        <v>45189</v>
      </c>
      <c r="B293" t="s">
        <v>8</v>
      </c>
      <c r="C293" t="s">
        <v>11</v>
      </c>
      <c r="D293" t="s">
        <v>15</v>
      </c>
      <c r="E293">
        <v>3</v>
      </c>
      <c r="F293">
        <v>249.22</v>
      </c>
      <c r="G293">
        <v>72.41</v>
      </c>
      <c r="H293">
        <f>YEAR(Table1[[#This Row],[Order Date]])</f>
        <v>2023</v>
      </c>
      <c r="I293" t="str">
        <f>TEXT(Table1[[#This Row],[Order Date]],"mmmm")</f>
        <v>September</v>
      </c>
      <c r="J293" s="3">
        <f>Table1[[#This Row],[Profit]]/Table1[[#This Row],[Sales Amount]]</f>
        <v>0.29054650509589919</v>
      </c>
    </row>
    <row r="294" spans="1:10" x14ac:dyDescent="0.35">
      <c r="A294" s="1">
        <v>45167</v>
      </c>
      <c r="B294" t="s">
        <v>7</v>
      </c>
      <c r="C294" t="s">
        <v>12</v>
      </c>
      <c r="D294" t="s">
        <v>17</v>
      </c>
      <c r="E294">
        <v>8</v>
      </c>
      <c r="F294">
        <v>107.78</v>
      </c>
      <c r="G294">
        <v>24.58</v>
      </c>
      <c r="H294">
        <f>YEAR(Table1[[#This Row],[Order Date]])</f>
        <v>2023</v>
      </c>
      <c r="I294" t="str">
        <f>TEXT(Table1[[#This Row],[Order Date]],"mmmm")</f>
        <v>August</v>
      </c>
      <c r="J294" s="3">
        <f>Table1[[#This Row],[Profit]]/Table1[[#This Row],[Sales Amount]]</f>
        <v>0.22805715346075336</v>
      </c>
    </row>
    <row r="295" spans="1:10" x14ac:dyDescent="0.35">
      <c r="A295" s="1">
        <v>45028</v>
      </c>
      <c r="B295" t="s">
        <v>10</v>
      </c>
      <c r="C295" t="s">
        <v>13</v>
      </c>
      <c r="D295" t="s">
        <v>19</v>
      </c>
      <c r="E295">
        <v>4</v>
      </c>
      <c r="F295">
        <v>88.55</v>
      </c>
      <c r="G295">
        <v>135.19</v>
      </c>
      <c r="H295">
        <f>YEAR(Table1[[#This Row],[Order Date]])</f>
        <v>2023</v>
      </c>
      <c r="I295" t="str">
        <f>TEXT(Table1[[#This Row],[Order Date]],"mmmm")</f>
        <v>April</v>
      </c>
      <c r="J295" s="3">
        <f>Table1[[#This Row],[Profit]]/Table1[[#This Row],[Sales Amount]]</f>
        <v>1.5267080745341615</v>
      </c>
    </row>
    <row r="296" spans="1:10" x14ac:dyDescent="0.35">
      <c r="A296" s="1">
        <v>44999</v>
      </c>
      <c r="B296" t="s">
        <v>9</v>
      </c>
      <c r="C296" t="s">
        <v>11</v>
      </c>
      <c r="D296" t="s">
        <v>22</v>
      </c>
      <c r="E296">
        <v>6</v>
      </c>
      <c r="F296">
        <v>209.75</v>
      </c>
      <c r="G296">
        <v>19.72</v>
      </c>
      <c r="H296">
        <f>YEAR(Table1[[#This Row],[Order Date]])</f>
        <v>2023</v>
      </c>
      <c r="I296" t="str">
        <f>TEXT(Table1[[#This Row],[Order Date]],"mmmm")</f>
        <v>March</v>
      </c>
      <c r="J296" s="3">
        <f>Table1[[#This Row],[Profit]]/Table1[[#This Row],[Sales Amount]]</f>
        <v>9.4016686531585208E-2</v>
      </c>
    </row>
    <row r="297" spans="1:10" x14ac:dyDescent="0.35">
      <c r="A297" s="1">
        <v>45242</v>
      </c>
      <c r="B297" t="s">
        <v>10</v>
      </c>
      <c r="C297" t="s">
        <v>12</v>
      </c>
      <c r="D297" t="s">
        <v>21</v>
      </c>
      <c r="E297">
        <v>5</v>
      </c>
      <c r="F297">
        <v>172.02</v>
      </c>
      <c r="G297">
        <v>92.99</v>
      </c>
      <c r="H297">
        <f>YEAR(Table1[[#This Row],[Order Date]])</f>
        <v>2023</v>
      </c>
      <c r="I297" t="str">
        <f>TEXT(Table1[[#This Row],[Order Date]],"mmmm")</f>
        <v>November</v>
      </c>
      <c r="J297" s="3">
        <f>Table1[[#This Row],[Profit]]/Table1[[#This Row],[Sales Amount]]</f>
        <v>0.54057667713056612</v>
      </c>
    </row>
    <row r="298" spans="1:10" x14ac:dyDescent="0.35">
      <c r="A298" s="1">
        <v>45226</v>
      </c>
      <c r="B298" t="s">
        <v>8</v>
      </c>
      <c r="C298" t="s">
        <v>11</v>
      </c>
      <c r="D298" t="s">
        <v>15</v>
      </c>
      <c r="E298">
        <v>3</v>
      </c>
      <c r="F298">
        <v>135.65</v>
      </c>
      <c r="G298">
        <v>17.329999999999998</v>
      </c>
      <c r="H298">
        <f>YEAR(Table1[[#This Row],[Order Date]])</f>
        <v>2023</v>
      </c>
      <c r="I298" t="str">
        <f>TEXT(Table1[[#This Row],[Order Date]],"mmmm")</f>
        <v>October</v>
      </c>
      <c r="J298" s="3">
        <f>Table1[[#This Row],[Profit]]/Table1[[#This Row],[Sales Amount]]</f>
        <v>0.12775525248802061</v>
      </c>
    </row>
    <row r="299" spans="1:10" x14ac:dyDescent="0.35">
      <c r="A299" s="1">
        <v>45028</v>
      </c>
      <c r="B299" t="s">
        <v>8</v>
      </c>
      <c r="C299" t="s">
        <v>13</v>
      </c>
      <c r="D299" t="s">
        <v>19</v>
      </c>
      <c r="E299">
        <v>2</v>
      </c>
      <c r="F299">
        <v>250.86</v>
      </c>
      <c r="G299">
        <v>56.7</v>
      </c>
      <c r="H299">
        <f>YEAR(Table1[[#This Row],[Order Date]])</f>
        <v>2023</v>
      </c>
      <c r="I299" t="str">
        <f>TEXT(Table1[[#This Row],[Order Date]],"mmmm")</f>
        <v>April</v>
      </c>
      <c r="J299" s="3">
        <f>Table1[[#This Row],[Profit]]/Table1[[#This Row],[Sales Amount]]</f>
        <v>0.2260224826596508</v>
      </c>
    </row>
    <row r="300" spans="1:10" x14ac:dyDescent="0.35">
      <c r="A300" s="1">
        <v>45226</v>
      </c>
      <c r="B300" t="s">
        <v>10</v>
      </c>
      <c r="C300" t="s">
        <v>13</v>
      </c>
      <c r="D300" t="s">
        <v>20</v>
      </c>
      <c r="E300">
        <v>9</v>
      </c>
      <c r="F300">
        <v>126.72</v>
      </c>
      <c r="G300">
        <v>67.33</v>
      </c>
      <c r="H300">
        <f>YEAR(Table1[[#This Row],[Order Date]])</f>
        <v>2023</v>
      </c>
      <c r="I300" t="str">
        <f>TEXT(Table1[[#This Row],[Order Date]],"mmmm")</f>
        <v>October</v>
      </c>
      <c r="J300" s="3">
        <f>Table1[[#This Row],[Profit]]/Table1[[#This Row],[Sales Amount]]</f>
        <v>0.53132891414141414</v>
      </c>
    </row>
    <row r="301" spans="1:10" x14ac:dyDescent="0.35">
      <c r="A301" s="1">
        <v>45047</v>
      </c>
      <c r="B301" t="s">
        <v>7</v>
      </c>
      <c r="C301" t="s">
        <v>13</v>
      </c>
      <c r="D301" t="s">
        <v>20</v>
      </c>
      <c r="E301">
        <v>8</v>
      </c>
      <c r="F301">
        <v>407.95</v>
      </c>
      <c r="G301">
        <v>139.80000000000001</v>
      </c>
      <c r="H301">
        <f>YEAR(Table1[[#This Row],[Order Date]])</f>
        <v>2023</v>
      </c>
      <c r="I301" t="str">
        <f>TEXT(Table1[[#This Row],[Order Date]],"mmmm")</f>
        <v>May</v>
      </c>
      <c r="J301" s="3">
        <f>Table1[[#This Row],[Profit]]/Table1[[#This Row],[Sales Amount]]</f>
        <v>0.34268905503125385</v>
      </c>
    </row>
    <row r="302" spans="1:10" x14ac:dyDescent="0.35">
      <c r="A302" s="1">
        <v>45205</v>
      </c>
      <c r="B302" t="s">
        <v>9</v>
      </c>
      <c r="C302" t="s">
        <v>12</v>
      </c>
      <c r="D302" t="s">
        <v>17</v>
      </c>
      <c r="E302">
        <v>8</v>
      </c>
      <c r="F302">
        <v>59.01</v>
      </c>
      <c r="G302">
        <v>113.21</v>
      </c>
      <c r="H302">
        <f>YEAR(Table1[[#This Row],[Order Date]])</f>
        <v>2023</v>
      </c>
      <c r="I302" t="str">
        <f>TEXT(Table1[[#This Row],[Order Date]],"mmmm")</f>
        <v>October</v>
      </c>
      <c r="J302" s="3">
        <f>Table1[[#This Row],[Profit]]/Table1[[#This Row],[Sales Amount]]</f>
        <v>1.9184883917980002</v>
      </c>
    </row>
    <row r="303" spans="1:10" x14ac:dyDescent="0.35">
      <c r="A303" s="1">
        <v>45047</v>
      </c>
      <c r="B303" t="s">
        <v>10</v>
      </c>
      <c r="C303" t="s">
        <v>12</v>
      </c>
      <c r="D303" t="s">
        <v>21</v>
      </c>
      <c r="E303">
        <v>4</v>
      </c>
      <c r="F303">
        <v>330.61</v>
      </c>
      <c r="G303">
        <v>22.48</v>
      </c>
      <c r="H303">
        <f>YEAR(Table1[[#This Row],[Order Date]])</f>
        <v>2023</v>
      </c>
      <c r="I303" t="str">
        <f>TEXT(Table1[[#This Row],[Order Date]],"mmmm")</f>
        <v>May</v>
      </c>
      <c r="J303" s="3">
        <f>Table1[[#This Row],[Profit]]/Table1[[#This Row],[Sales Amount]]</f>
        <v>6.7995523426393631E-2</v>
      </c>
    </row>
    <row r="304" spans="1:10" x14ac:dyDescent="0.35">
      <c r="A304" s="1">
        <v>45214</v>
      </c>
      <c r="B304" t="s">
        <v>8</v>
      </c>
      <c r="C304" t="s">
        <v>11</v>
      </c>
      <c r="D304" t="s">
        <v>22</v>
      </c>
      <c r="E304">
        <v>6</v>
      </c>
      <c r="F304">
        <v>121.69</v>
      </c>
      <c r="G304">
        <v>18.84</v>
      </c>
      <c r="H304">
        <f>YEAR(Table1[[#This Row],[Order Date]])</f>
        <v>2023</v>
      </c>
      <c r="I304" t="str">
        <f>TEXT(Table1[[#This Row],[Order Date]],"mmmm")</f>
        <v>October</v>
      </c>
      <c r="J304" s="3">
        <f>Table1[[#This Row],[Profit]]/Table1[[#This Row],[Sales Amount]]</f>
        <v>0.15481962363382365</v>
      </c>
    </row>
    <row r="305" spans="1:10" x14ac:dyDescent="0.35">
      <c r="A305" s="1">
        <v>45077</v>
      </c>
      <c r="B305" t="s">
        <v>10</v>
      </c>
      <c r="C305" t="s">
        <v>12</v>
      </c>
      <c r="D305" t="s">
        <v>21</v>
      </c>
      <c r="E305">
        <v>2</v>
      </c>
      <c r="F305">
        <v>221.41</v>
      </c>
      <c r="G305">
        <v>58.49</v>
      </c>
      <c r="H305">
        <f>YEAR(Table1[[#This Row],[Order Date]])</f>
        <v>2023</v>
      </c>
      <c r="I305" t="str">
        <f>TEXT(Table1[[#This Row],[Order Date]],"mmmm")</f>
        <v>May</v>
      </c>
      <c r="J305" s="3">
        <f>Table1[[#This Row],[Profit]]/Table1[[#This Row],[Sales Amount]]</f>
        <v>0.26417054333589268</v>
      </c>
    </row>
    <row r="306" spans="1:10" x14ac:dyDescent="0.35">
      <c r="A306" s="1">
        <v>45257</v>
      </c>
      <c r="B306" t="s">
        <v>7</v>
      </c>
      <c r="C306" t="s">
        <v>12</v>
      </c>
      <c r="D306" t="s">
        <v>16</v>
      </c>
      <c r="E306">
        <v>7</v>
      </c>
      <c r="F306">
        <v>474.07</v>
      </c>
      <c r="G306">
        <v>132.27000000000001</v>
      </c>
      <c r="H306">
        <f>YEAR(Table1[[#This Row],[Order Date]])</f>
        <v>2023</v>
      </c>
      <c r="I306" t="str">
        <f>TEXT(Table1[[#This Row],[Order Date]],"mmmm")</f>
        <v>November</v>
      </c>
      <c r="J306" s="3">
        <f>Table1[[#This Row],[Profit]]/Table1[[#This Row],[Sales Amount]]</f>
        <v>0.27900942898728037</v>
      </c>
    </row>
    <row r="307" spans="1:10" x14ac:dyDescent="0.35">
      <c r="A307" s="1">
        <v>45069</v>
      </c>
      <c r="B307" t="s">
        <v>10</v>
      </c>
      <c r="C307" t="s">
        <v>13</v>
      </c>
      <c r="D307" t="s">
        <v>20</v>
      </c>
      <c r="E307">
        <v>4</v>
      </c>
      <c r="F307">
        <v>143.83000000000001</v>
      </c>
      <c r="G307">
        <v>140.28</v>
      </c>
      <c r="H307">
        <f>YEAR(Table1[[#This Row],[Order Date]])</f>
        <v>2023</v>
      </c>
      <c r="I307" t="str">
        <f>TEXT(Table1[[#This Row],[Order Date]],"mmmm")</f>
        <v>May</v>
      </c>
      <c r="J307" s="3">
        <f>Table1[[#This Row],[Profit]]/Table1[[#This Row],[Sales Amount]]</f>
        <v>0.97531808384898833</v>
      </c>
    </row>
    <row r="308" spans="1:10" x14ac:dyDescent="0.35">
      <c r="A308" s="1">
        <v>45092</v>
      </c>
      <c r="B308" t="s">
        <v>10</v>
      </c>
      <c r="C308" t="s">
        <v>13</v>
      </c>
      <c r="D308" t="s">
        <v>20</v>
      </c>
      <c r="E308">
        <v>3</v>
      </c>
      <c r="F308">
        <v>353.44</v>
      </c>
      <c r="G308">
        <v>84.55</v>
      </c>
      <c r="H308">
        <f>YEAR(Table1[[#This Row],[Order Date]])</f>
        <v>2023</v>
      </c>
      <c r="I308" t="str">
        <f>TEXT(Table1[[#This Row],[Order Date]],"mmmm")</f>
        <v>June</v>
      </c>
      <c r="J308" s="3">
        <f>Table1[[#This Row],[Profit]]/Table1[[#This Row],[Sales Amount]]</f>
        <v>0.23922023540063375</v>
      </c>
    </row>
    <row r="309" spans="1:10" x14ac:dyDescent="0.35">
      <c r="A309" s="1">
        <v>45060</v>
      </c>
      <c r="B309" t="s">
        <v>7</v>
      </c>
      <c r="C309" t="s">
        <v>13</v>
      </c>
      <c r="D309" t="s">
        <v>19</v>
      </c>
      <c r="E309">
        <v>4</v>
      </c>
      <c r="F309">
        <v>418.43</v>
      </c>
      <c r="G309">
        <v>55.15</v>
      </c>
      <c r="H309">
        <f>YEAR(Table1[[#This Row],[Order Date]])</f>
        <v>2023</v>
      </c>
      <c r="I309" t="str">
        <f>TEXT(Table1[[#This Row],[Order Date]],"mmmm")</f>
        <v>May</v>
      </c>
      <c r="J309" s="3">
        <f>Table1[[#This Row],[Profit]]/Table1[[#This Row],[Sales Amount]]</f>
        <v>0.13180221303443826</v>
      </c>
    </row>
    <row r="310" spans="1:10" x14ac:dyDescent="0.35">
      <c r="A310" s="1">
        <v>44992</v>
      </c>
      <c r="B310" t="s">
        <v>7</v>
      </c>
      <c r="C310" t="s">
        <v>11</v>
      </c>
      <c r="D310" t="s">
        <v>15</v>
      </c>
      <c r="E310">
        <v>3</v>
      </c>
      <c r="F310">
        <v>205.74</v>
      </c>
      <c r="G310">
        <v>146.59</v>
      </c>
      <c r="H310">
        <f>YEAR(Table1[[#This Row],[Order Date]])</f>
        <v>2023</v>
      </c>
      <c r="I310" t="str">
        <f>TEXT(Table1[[#This Row],[Order Date]],"mmmm")</f>
        <v>March</v>
      </c>
      <c r="J310" s="3">
        <f>Table1[[#This Row],[Profit]]/Table1[[#This Row],[Sales Amount]]</f>
        <v>0.71250121512588704</v>
      </c>
    </row>
    <row r="311" spans="1:10" x14ac:dyDescent="0.35">
      <c r="A311" s="1">
        <v>44951</v>
      </c>
      <c r="B311" t="s">
        <v>10</v>
      </c>
      <c r="C311" t="s">
        <v>13</v>
      </c>
      <c r="D311" t="s">
        <v>20</v>
      </c>
      <c r="E311">
        <v>6</v>
      </c>
      <c r="F311">
        <v>191.18</v>
      </c>
      <c r="G311">
        <v>94.89</v>
      </c>
      <c r="H311">
        <f>YEAR(Table1[[#This Row],[Order Date]])</f>
        <v>2023</v>
      </c>
      <c r="I311" t="str">
        <f>TEXT(Table1[[#This Row],[Order Date]],"mmmm")</f>
        <v>January</v>
      </c>
      <c r="J311" s="3">
        <f>Table1[[#This Row],[Profit]]/Table1[[#This Row],[Sales Amount]]</f>
        <v>0.49633852913484672</v>
      </c>
    </row>
    <row r="312" spans="1:10" x14ac:dyDescent="0.35">
      <c r="A312" s="1">
        <v>45036</v>
      </c>
      <c r="B312" t="s">
        <v>9</v>
      </c>
      <c r="C312" t="s">
        <v>12</v>
      </c>
      <c r="D312" t="s">
        <v>16</v>
      </c>
      <c r="E312">
        <v>4</v>
      </c>
      <c r="F312">
        <v>276.14999999999998</v>
      </c>
      <c r="G312">
        <v>65.81</v>
      </c>
      <c r="H312">
        <f>YEAR(Table1[[#This Row],[Order Date]])</f>
        <v>2023</v>
      </c>
      <c r="I312" t="str">
        <f>TEXT(Table1[[#This Row],[Order Date]],"mmmm")</f>
        <v>April</v>
      </c>
      <c r="J312" s="3">
        <f>Table1[[#This Row],[Profit]]/Table1[[#This Row],[Sales Amount]]</f>
        <v>0.23831251131631362</v>
      </c>
    </row>
    <row r="313" spans="1:10" x14ac:dyDescent="0.35">
      <c r="A313" s="1">
        <v>45067</v>
      </c>
      <c r="B313" t="s">
        <v>8</v>
      </c>
      <c r="C313" t="s">
        <v>12</v>
      </c>
      <c r="D313" t="s">
        <v>16</v>
      </c>
      <c r="E313">
        <v>8</v>
      </c>
      <c r="F313">
        <v>265.20999999999998</v>
      </c>
      <c r="G313">
        <v>80.86</v>
      </c>
      <c r="H313">
        <f>YEAR(Table1[[#This Row],[Order Date]])</f>
        <v>2023</v>
      </c>
      <c r="I313" t="str">
        <f>TEXT(Table1[[#This Row],[Order Date]],"mmmm")</f>
        <v>May</v>
      </c>
      <c r="J313" s="3">
        <f>Table1[[#This Row],[Profit]]/Table1[[#This Row],[Sales Amount]]</f>
        <v>0.3048904641604766</v>
      </c>
    </row>
    <row r="314" spans="1:10" x14ac:dyDescent="0.35">
      <c r="A314" s="1">
        <v>44994</v>
      </c>
      <c r="B314" t="s">
        <v>8</v>
      </c>
      <c r="C314" t="s">
        <v>11</v>
      </c>
      <c r="D314" t="s">
        <v>22</v>
      </c>
      <c r="E314">
        <v>4</v>
      </c>
      <c r="F314">
        <v>247.78</v>
      </c>
      <c r="G314">
        <v>24.79</v>
      </c>
      <c r="H314">
        <f>YEAR(Table1[[#This Row],[Order Date]])</f>
        <v>2023</v>
      </c>
      <c r="I314" t="str">
        <f>TEXT(Table1[[#This Row],[Order Date]],"mmmm")</f>
        <v>March</v>
      </c>
      <c r="J314" s="3">
        <f>Table1[[#This Row],[Profit]]/Table1[[#This Row],[Sales Amount]]</f>
        <v>0.10004843005892324</v>
      </c>
    </row>
    <row r="315" spans="1:10" x14ac:dyDescent="0.35">
      <c r="A315" s="1">
        <v>45086</v>
      </c>
      <c r="B315" t="s">
        <v>8</v>
      </c>
      <c r="C315" t="s">
        <v>13</v>
      </c>
      <c r="D315" t="s">
        <v>19</v>
      </c>
      <c r="E315">
        <v>2</v>
      </c>
      <c r="F315">
        <v>342.59</v>
      </c>
      <c r="G315">
        <v>31.28</v>
      </c>
      <c r="H315">
        <f>YEAR(Table1[[#This Row],[Order Date]])</f>
        <v>2023</v>
      </c>
      <c r="I315" t="str">
        <f>TEXT(Table1[[#This Row],[Order Date]],"mmmm")</f>
        <v>June</v>
      </c>
      <c r="J315" s="3">
        <f>Table1[[#This Row],[Profit]]/Table1[[#This Row],[Sales Amount]]</f>
        <v>9.1304474736565583E-2</v>
      </c>
    </row>
    <row r="316" spans="1:10" x14ac:dyDescent="0.35">
      <c r="A316" s="1">
        <v>44931</v>
      </c>
      <c r="B316" t="s">
        <v>7</v>
      </c>
      <c r="C316" t="s">
        <v>11</v>
      </c>
      <c r="D316" t="s">
        <v>15</v>
      </c>
      <c r="E316">
        <v>9</v>
      </c>
      <c r="F316">
        <v>76.17</v>
      </c>
      <c r="G316">
        <v>149.28</v>
      </c>
      <c r="H316">
        <f>YEAR(Table1[[#This Row],[Order Date]])</f>
        <v>2023</v>
      </c>
      <c r="I316" t="str">
        <f>TEXT(Table1[[#This Row],[Order Date]],"mmmm")</f>
        <v>January</v>
      </c>
      <c r="J316" s="3">
        <f>Table1[[#This Row],[Profit]]/Table1[[#This Row],[Sales Amount]]</f>
        <v>1.9598267034265457</v>
      </c>
    </row>
    <row r="317" spans="1:10" x14ac:dyDescent="0.35">
      <c r="A317" s="1">
        <v>44982</v>
      </c>
      <c r="B317" t="s">
        <v>7</v>
      </c>
      <c r="C317" t="s">
        <v>12</v>
      </c>
      <c r="D317" t="s">
        <v>21</v>
      </c>
      <c r="E317">
        <v>7</v>
      </c>
      <c r="F317">
        <v>157.63</v>
      </c>
      <c r="G317">
        <v>29.91</v>
      </c>
      <c r="H317">
        <f>YEAR(Table1[[#This Row],[Order Date]])</f>
        <v>2023</v>
      </c>
      <c r="I317" t="str">
        <f>TEXT(Table1[[#This Row],[Order Date]],"mmmm")</f>
        <v>February</v>
      </c>
      <c r="J317" s="3">
        <f>Table1[[#This Row],[Profit]]/Table1[[#This Row],[Sales Amount]]</f>
        <v>0.18974814438875851</v>
      </c>
    </row>
    <row r="318" spans="1:10" x14ac:dyDescent="0.35">
      <c r="A318" s="1">
        <v>45082</v>
      </c>
      <c r="B318" t="s">
        <v>10</v>
      </c>
      <c r="C318" t="s">
        <v>12</v>
      </c>
      <c r="D318" t="s">
        <v>16</v>
      </c>
      <c r="E318">
        <v>3</v>
      </c>
      <c r="F318">
        <v>129.99</v>
      </c>
      <c r="G318">
        <v>106.83</v>
      </c>
      <c r="H318">
        <f>YEAR(Table1[[#This Row],[Order Date]])</f>
        <v>2023</v>
      </c>
      <c r="I318" t="str">
        <f>TEXT(Table1[[#This Row],[Order Date]],"mmmm")</f>
        <v>June</v>
      </c>
      <c r="J318" s="3">
        <f>Table1[[#This Row],[Profit]]/Table1[[#This Row],[Sales Amount]]</f>
        <v>0.82183244864989613</v>
      </c>
    </row>
    <row r="319" spans="1:10" x14ac:dyDescent="0.35">
      <c r="A319" s="1">
        <v>45186</v>
      </c>
      <c r="B319" t="s">
        <v>9</v>
      </c>
      <c r="C319" t="s">
        <v>12</v>
      </c>
      <c r="D319" t="s">
        <v>17</v>
      </c>
      <c r="E319">
        <v>8</v>
      </c>
      <c r="F319">
        <v>416.29</v>
      </c>
      <c r="G319">
        <v>96.13</v>
      </c>
      <c r="H319">
        <f>YEAR(Table1[[#This Row],[Order Date]])</f>
        <v>2023</v>
      </c>
      <c r="I319" t="str">
        <f>TEXT(Table1[[#This Row],[Order Date]],"mmmm")</f>
        <v>September</v>
      </c>
      <c r="J319" s="3">
        <f>Table1[[#This Row],[Profit]]/Table1[[#This Row],[Sales Amount]]</f>
        <v>0.23092075236013354</v>
      </c>
    </row>
    <row r="320" spans="1:10" x14ac:dyDescent="0.35">
      <c r="A320" s="1">
        <v>45234</v>
      </c>
      <c r="B320" t="s">
        <v>9</v>
      </c>
      <c r="C320" t="s">
        <v>12</v>
      </c>
      <c r="D320" t="s">
        <v>16</v>
      </c>
      <c r="E320">
        <v>7</v>
      </c>
      <c r="F320">
        <v>375.94</v>
      </c>
      <c r="G320">
        <v>120.89</v>
      </c>
      <c r="H320">
        <f>YEAR(Table1[[#This Row],[Order Date]])</f>
        <v>2023</v>
      </c>
      <c r="I320" t="str">
        <f>TEXT(Table1[[#This Row],[Order Date]],"mmmm")</f>
        <v>November</v>
      </c>
      <c r="J320" s="3">
        <f>Table1[[#This Row],[Profit]]/Table1[[#This Row],[Sales Amount]]</f>
        <v>0.32156727137309143</v>
      </c>
    </row>
    <row r="321" spans="1:10" x14ac:dyDescent="0.35">
      <c r="A321" s="1">
        <v>44988</v>
      </c>
      <c r="B321" t="s">
        <v>9</v>
      </c>
      <c r="C321" t="s">
        <v>11</v>
      </c>
      <c r="D321" t="s">
        <v>22</v>
      </c>
      <c r="E321">
        <v>3</v>
      </c>
      <c r="F321">
        <v>215.49</v>
      </c>
      <c r="G321">
        <v>67.98</v>
      </c>
      <c r="H321">
        <f>YEAR(Table1[[#This Row],[Order Date]])</f>
        <v>2023</v>
      </c>
      <c r="I321" t="str">
        <f>TEXT(Table1[[#This Row],[Order Date]],"mmmm")</f>
        <v>March</v>
      </c>
      <c r="J321" s="3">
        <f>Table1[[#This Row],[Profit]]/Table1[[#This Row],[Sales Amount]]</f>
        <v>0.31546707503828486</v>
      </c>
    </row>
    <row r="322" spans="1:10" x14ac:dyDescent="0.35">
      <c r="A322" s="1">
        <v>45155</v>
      </c>
      <c r="B322" t="s">
        <v>8</v>
      </c>
      <c r="C322" t="s">
        <v>13</v>
      </c>
      <c r="D322" t="s">
        <v>18</v>
      </c>
      <c r="E322">
        <v>5</v>
      </c>
      <c r="F322">
        <v>54.96</v>
      </c>
      <c r="G322">
        <v>68.260000000000005</v>
      </c>
      <c r="H322">
        <f>YEAR(Table1[[#This Row],[Order Date]])</f>
        <v>2023</v>
      </c>
      <c r="I322" t="str">
        <f>TEXT(Table1[[#This Row],[Order Date]],"mmmm")</f>
        <v>August</v>
      </c>
      <c r="J322" s="3">
        <f>Table1[[#This Row],[Profit]]/Table1[[#This Row],[Sales Amount]]</f>
        <v>1.2419941775836973</v>
      </c>
    </row>
    <row r="323" spans="1:10" x14ac:dyDescent="0.35">
      <c r="A323" s="1">
        <v>45172</v>
      </c>
      <c r="B323" t="s">
        <v>10</v>
      </c>
      <c r="C323" t="s">
        <v>11</v>
      </c>
      <c r="D323" t="s">
        <v>14</v>
      </c>
      <c r="E323">
        <v>5</v>
      </c>
      <c r="F323">
        <v>392.13</v>
      </c>
      <c r="G323">
        <v>29.2</v>
      </c>
      <c r="H323">
        <f>YEAR(Table1[[#This Row],[Order Date]])</f>
        <v>2023</v>
      </c>
      <c r="I323" t="str">
        <f>TEXT(Table1[[#This Row],[Order Date]],"mmmm")</f>
        <v>September</v>
      </c>
      <c r="J323" s="3">
        <f>Table1[[#This Row],[Profit]]/Table1[[#This Row],[Sales Amount]]</f>
        <v>7.446510085940887E-2</v>
      </c>
    </row>
    <row r="324" spans="1:10" x14ac:dyDescent="0.35">
      <c r="A324" s="1">
        <v>44991</v>
      </c>
      <c r="B324" t="s">
        <v>8</v>
      </c>
      <c r="C324" t="s">
        <v>11</v>
      </c>
      <c r="D324" t="s">
        <v>22</v>
      </c>
      <c r="E324">
        <v>2</v>
      </c>
      <c r="F324">
        <v>333.18</v>
      </c>
      <c r="G324">
        <v>37.840000000000003</v>
      </c>
      <c r="H324">
        <f>YEAR(Table1[[#This Row],[Order Date]])</f>
        <v>2023</v>
      </c>
      <c r="I324" t="str">
        <f>TEXT(Table1[[#This Row],[Order Date]],"mmmm")</f>
        <v>March</v>
      </c>
      <c r="J324" s="3">
        <f>Table1[[#This Row],[Profit]]/Table1[[#This Row],[Sales Amount]]</f>
        <v>0.11357224323188668</v>
      </c>
    </row>
    <row r="325" spans="1:10" x14ac:dyDescent="0.35">
      <c r="A325" s="1">
        <v>45099</v>
      </c>
      <c r="B325" t="s">
        <v>9</v>
      </c>
      <c r="C325" t="s">
        <v>12</v>
      </c>
      <c r="D325" t="s">
        <v>21</v>
      </c>
      <c r="E325">
        <v>3</v>
      </c>
      <c r="F325">
        <v>169.63</v>
      </c>
      <c r="G325">
        <v>100.45</v>
      </c>
      <c r="H325">
        <f>YEAR(Table1[[#This Row],[Order Date]])</f>
        <v>2023</v>
      </c>
      <c r="I325" t="str">
        <f>TEXT(Table1[[#This Row],[Order Date]],"mmmm")</f>
        <v>June</v>
      </c>
      <c r="J325" s="3">
        <f>Table1[[#This Row],[Profit]]/Table1[[#This Row],[Sales Amount]]</f>
        <v>0.59217119613275959</v>
      </c>
    </row>
    <row r="326" spans="1:10" x14ac:dyDescent="0.35">
      <c r="A326" s="1">
        <v>45234</v>
      </c>
      <c r="B326" t="s">
        <v>9</v>
      </c>
      <c r="C326" t="s">
        <v>12</v>
      </c>
      <c r="D326" t="s">
        <v>17</v>
      </c>
      <c r="E326">
        <v>5</v>
      </c>
      <c r="F326">
        <v>269.70999999999998</v>
      </c>
      <c r="G326">
        <v>31.01</v>
      </c>
      <c r="H326">
        <f>YEAR(Table1[[#This Row],[Order Date]])</f>
        <v>2023</v>
      </c>
      <c r="I326" t="str">
        <f>TEXT(Table1[[#This Row],[Order Date]],"mmmm")</f>
        <v>November</v>
      </c>
      <c r="J326" s="3">
        <f>Table1[[#This Row],[Profit]]/Table1[[#This Row],[Sales Amount]]</f>
        <v>0.11497534388787958</v>
      </c>
    </row>
    <row r="327" spans="1:10" x14ac:dyDescent="0.35">
      <c r="A327" s="1">
        <v>45158</v>
      </c>
      <c r="B327" t="s">
        <v>7</v>
      </c>
      <c r="C327" t="s">
        <v>13</v>
      </c>
      <c r="D327" t="s">
        <v>20</v>
      </c>
      <c r="E327">
        <v>4</v>
      </c>
      <c r="F327">
        <v>436.8</v>
      </c>
      <c r="G327">
        <v>64.94</v>
      </c>
      <c r="H327">
        <f>YEAR(Table1[[#This Row],[Order Date]])</f>
        <v>2023</v>
      </c>
      <c r="I327" t="str">
        <f>TEXT(Table1[[#This Row],[Order Date]],"mmmm")</f>
        <v>August</v>
      </c>
      <c r="J327" s="3">
        <f>Table1[[#This Row],[Profit]]/Table1[[#This Row],[Sales Amount]]</f>
        <v>0.14867216117216117</v>
      </c>
    </row>
    <row r="328" spans="1:10" x14ac:dyDescent="0.35">
      <c r="A328" s="1">
        <v>45039</v>
      </c>
      <c r="B328" t="s">
        <v>8</v>
      </c>
      <c r="C328" t="s">
        <v>13</v>
      </c>
      <c r="D328" t="s">
        <v>20</v>
      </c>
      <c r="E328">
        <v>8</v>
      </c>
      <c r="F328">
        <v>191.93</v>
      </c>
      <c r="G328">
        <v>106.34</v>
      </c>
      <c r="H328">
        <f>YEAR(Table1[[#This Row],[Order Date]])</f>
        <v>2023</v>
      </c>
      <c r="I328" t="str">
        <f>TEXT(Table1[[#This Row],[Order Date]],"mmmm")</f>
        <v>April</v>
      </c>
      <c r="J328" s="3">
        <f>Table1[[#This Row],[Profit]]/Table1[[#This Row],[Sales Amount]]</f>
        <v>0.55405616631063404</v>
      </c>
    </row>
    <row r="329" spans="1:10" x14ac:dyDescent="0.35">
      <c r="A329" s="1">
        <v>45023</v>
      </c>
      <c r="B329" t="s">
        <v>10</v>
      </c>
      <c r="C329" t="s">
        <v>12</v>
      </c>
      <c r="D329" t="s">
        <v>16</v>
      </c>
      <c r="E329">
        <v>8</v>
      </c>
      <c r="F329">
        <v>257.66000000000003</v>
      </c>
      <c r="G329">
        <v>99.21</v>
      </c>
      <c r="H329">
        <f>YEAR(Table1[[#This Row],[Order Date]])</f>
        <v>2023</v>
      </c>
      <c r="I329" t="str">
        <f>TEXT(Table1[[#This Row],[Order Date]],"mmmm")</f>
        <v>April</v>
      </c>
      <c r="J329" s="3">
        <f>Table1[[#This Row],[Profit]]/Table1[[#This Row],[Sales Amount]]</f>
        <v>0.38504230381122401</v>
      </c>
    </row>
    <row r="330" spans="1:10" x14ac:dyDescent="0.35">
      <c r="A330" s="1">
        <v>45190</v>
      </c>
      <c r="B330" t="s">
        <v>7</v>
      </c>
      <c r="C330" t="s">
        <v>13</v>
      </c>
      <c r="D330" t="s">
        <v>18</v>
      </c>
      <c r="E330">
        <v>8</v>
      </c>
      <c r="F330">
        <v>152.13</v>
      </c>
      <c r="G330">
        <v>134.51</v>
      </c>
      <c r="H330">
        <f>YEAR(Table1[[#This Row],[Order Date]])</f>
        <v>2023</v>
      </c>
      <c r="I330" t="str">
        <f>TEXT(Table1[[#This Row],[Order Date]],"mmmm")</f>
        <v>September</v>
      </c>
      <c r="J330" s="3">
        <f>Table1[[#This Row],[Profit]]/Table1[[#This Row],[Sales Amount]]</f>
        <v>0.88417800565305982</v>
      </c>
    </row>
    <row r="331" spans="1:10" x14ac:dyDescent="0.35">
      <c r="A331" s="1">
        <v>45270</v>
      </c>
      <c r="B331" t="s">
        <v>8</v>
      </c>
      <c r="C331" t="s">
        <v>11</v>
      </c>
      <c r="D331" t="s">
        <v>14</v>
      </c>
      <c r="E331">
        <v>5</v>
      </c>
      <c r="F331">
        <v>381.85</v>
      </c>
      <c r="G331">
        <v>81.709999999999994</v>
      </c>
      <c r="H331">
        <f>YEAR(Table1[[#This Row],[Order Date]])</f>
        <v>2023</v>
      </c>
      <c r="I331" t="str">
        <f>TEXT(Table1[[#This Row],[Order Date]],"mmmm")</f>
        <v>December</v>
      </c>
      <c r="J331" s="3">
        <f>Table1[[#This Row],[Profit]]/Table1[[#This Row],[Sales Amount]]</f>
        <v>0.21398454890663871</v>
      </c>
    </row>
    <row r="332" spans="1:10" x14ac:dyDescent="0.35">
      <c r="A332" s="1">
        <v>44934</v>
      </c>
      <c r="B332" t="s">
        <v>8</v>
      </c>
      <c r="C332" t="s">
        <v>12</v>
      </c>
      <c r="D332" t="s">
        <v>21</v>
      </c>
      <c r="E332">
        <v>7</v>
      </c>
      <c r="F332">
        <v>372.35</v>
      </c>
      <c r="G332">
        <v>20.09</v>
      </c>
      <c r="H332">
        <f>YEAR(Table1[[#This Row],[Order Date]])</f>
        <v>2023</v>
      </c>
      <c r="I332" t="str">
        <f>TEXT(Table1[[#This Row],[Order Date]],"mmmm")</f>
        <v>January</v>
      </c>
      <c r="J332" s="3">
        <f>Table1[[#This Row],[Profit]]/Table1[[#This Row],[Sales Amount]]</f>
        <v>5.3954612595676105E-2</v>
      </c>
    </row>
    <row r="333" spans="1:10" x14ac:dyDescent="0.35">
      <c r="A333" s="1">
        <v>45078</v>
      </c>
      <c r="B333" t="s">
        <v>8</v>
      </c>
      <c r="C333" t="s">
        <v>11</v>
      </c>
      <c r="D333" t="s">
        <v>22</v>
      </c>
      <c r="E333">
        <v>4</v>
      </c>
      <c r="F333">
        <v>381.88</v>
      </c>
      <c r="G333">
        <v>59.46</v>
      </c>
      <c r="H333">
        <f>YEAR(Table1[[#This Row],[Order Date]])</f>
        <v>2023</v>
      </c>
      <c r="I333" t="str">
        <f>TEXT(Table1[[#This Row],[Order Date]],"mmmm")</f>
        <v>June</v>
      </c>
      <c r="J333" s="3">
        <f>Table1[[#This Row],[Profit]]/Table1[[#This Row],[Sales Amount]]</f>
        <v>0.15570336231276841</v>
      </c>
    </row>
    <row r="334" spans="1:10" x14ac:dyDescent="0.35">
      <c r="A334" s="1">
        <v>45154</v>
      </c>
      <c r="B334" t="s">
        <v>7</v>
      </c>
      <c r="C334" t="s">
        <v>13</v>
      </c>
      <c r="D334" t="s">
        <v>19</v>
      </c>
      <c r="E334">
        <v>3</v>
      </c>
      <c r="F334">
        <v>347.62</v>
      </c>
      <c r="G334">
        <v>35.93</v>
      </c>
      <c r="H334">
        <f>YEAR(Table1[[#This Row],[Order Date]])</f>
        <v>2023</v>
      </c>
      <c r="I334" t="str">
        <f>TEXT(Table1[[#This Row],[Order Date]],"mmmm")</f>
        <v>August</v>
      </c>
      <c r="J334" s="3">
        <f>Table1[[#This Row],[Profit]]/Table1[[#This Row],[Sales Amount]]</f>
        <v>0.10335999079454576</v>
      </c>
    </row>
    <row r="335" spans="1:10" x14ac:dyDescent="0.35">
      <c r="A335" s="1">
        <v>45187</v>
      </c>
      <c r="B335" t="s">
        <v>8</v>
      </c>
      <c r="C335" t="s">
        <v>11</v>
      </c>
      <c r="D335" t="s">
        <v>15</v>
      </c>
      <c r="E335">
        <v>6</v>
      </c>
      <c r="F335">
        <v>393.97</v>
      </c>
      <c r="G335">
        <v>47.11</v>
      </c>
      <c r="H335">
        <f>YEAR(Table1[[#This Row],[Order Date]])</f>
        <v>2023</v>
      </c>
      <c r="I335" t="str">
        <f>TEXT(Table1[[#This Row],[Order Date]],"mmmm")</f>
        <v>September</v>
      </c>
      <c r="J335" s="3">
        <f>Table1[[#This Row],[Profit]]/Table1[[#This Row],[Sales Amount]]</f>
        <v>0.11957763281468131</v>
      </c>
    </row>
    <row r="336" spans="1:10" x14ac:dyDescent="0.35">
      <c r="A336" s="1">
        <v>45037</v>
      </c>
      <c r="B336" t="s">
        <v>9</v>
      </c>
      <c r="C336" t="s">
        <v>13</v>
      </c>
      <c r="D336" t="s">
        <v>20</v>
      </c>
      <c r="E336">
        <v>8</v>
      </c>
      <c r="F336">
        <v>396.15</v>
      </c>
      <c r="G336">
        <v>97.45</v>
      </c>
      <c r="H336">
        <f>YEAR(Table1[[#This Row],[Order Date]])</f>
        <v>2023</v>
      </c>
      <c r="I336" t="str">
        <f>TEXT(Table1[[#This Row],[Order Date]],"mmmm")</f>
        <v>April</v>
      </c>
      <c r="J336" s="3">
        <f>Table1[[#This Row],[Profit]]/Table1[[#This Row],[Sales Amount]]</f>
        <v>0.24599267954057807</v>
      </c>
    </row>
    <row r="337" spans="1:10" x14ac:dyDescent="0.35">
      <c r="A337" s="1">
        <v>44975</v>
      </c>
      <c r="B337" t="s">
        <v>9</v>
      </c>
      <c r="C337" t="s">
        <v>13</v>
      </c>
      <c r="D337" t="s">
        <v>18</v>
      </c>
      <c r="E337">
        <v>4</v>
      </c>
      <c r="F337">
        <v>398.59</v>
      </c>
      <c r="G337">
        <v>100.15</v>
      </c>
      <c r="H337">
        <f>YEAR(Table1[[#This Row],[Order Date]])</f>
        <v>2023</v>
      </c>
      <c r="I337" t="str">
        <f>TEXT(Table1[[#This Row],[Order Date]],"mmmm")</f>
        <v>February</v>
      </c>
      <c r="J337" s="3">
        <f>Table1[[#This Row],[Profit]]/Table1[[#This Row],[Sales Amount]]</f>
        <v>0.25126069394616024</v>
      </c>
    </row>
    <row r="338" spans="1:10" x14ac:dyDescent="0.35">
      <c r="A338" s="1">
        <v>45045</v>
      </c>
      <c r="B338" t="s">
        <v>10</v>
      </c>
      <c r="C338" t="s">
        <v>13</v>
      </c>
      <c r="D338" t="s">
        <v>19</v>
      </c>
      <c r="E338">
        <v>2</v>
      </c>
      <c r="F338">
        <v>195</v>
      </c>
      <c r="G338">
        <v>27.53</v>
      </c>
      <c r="H338">
        <f>YEAR(Table1[[#This Row],[Order Date]])</f>
        <v>2023</v>
      </c>
      <c r="I338" t="str">
        <f>TEXT(Table1[[#This Row],[Order Date]],"mmmm")</f>
        <v>April</v>
      </c>
      <c r="J338" s="3">
        <f>Table1[[#This Row],[Profit]]/Table1[[#This Row],[Sales Amount]]</f>
        <v>0.1411794871794872</v>
      </c>
    </row>
    <row r="339" spans="1:10" x14ac:dyDescent="0.35">
      <c r="A339" s="1">
        <v>45184</v>
      </c>
      <c r="B339" t="s">
        <v>10</v>
      </c>
      <c r="C339" t="s">
        <v>11</v>
      </c>
      <c r="D339" t="s">
        <v>22</v>
      </c>
      <c r="E339">
        <v>5</v>
      </c>
      <c r="F339">
        <v>464.13</v>
      </c>
      <c r="G339">
        <v>82.91</v>
      </c>
      <c r="H339">
        <f>YEAR(Table1[[#This Row],[Order Date]])</f>
        <v>2023</v>
      </c>
      <c r="I339" t="str">
        <f>TEXT(Table1[[#This Row],[Order Date]],"mmmm")</f>
        <v>September</v>
      </c>
      <c r="J339" s="3">
        <f>Table1[[#This Row],[Profit]]/Table1[[#This Row],[Sales Amount]]</f>
        <v>0.17863529614547649</v>
      </c>
    </row>
    <row r="340" spans="1:10" x14ac:dyDescent="0.35">
      <c r="A340" s="1">
        <v>44937</v>
      </c>
      <c r="B340" t="s">
        <v>10</v>
      </c>
      <c r="C340" t="s">
        <v>13</v>
      </c>
      <c r="D340" t="s">
        <v>19</v>
      </c>
      <c r="E340">
        <v>1</v>
      </c>
      <c r="F340">
        <v>467.64</v>
      </c>
      <c r="G340">
        <v>41.45</v>
      </c>
      <c r="H340">
        <f>YEAR(Table1[[#This Row],[Order Date]])</f>
        <v>2023</v>
      </c>
      <c r="I340" t="str">
        <f>TEXT(Table1[[#This Row],[Order Date]],"mmmm")</f>
        <v>January</v>
      </c>
      <c r="J340" s="3">
        <f>Table1[[#This Row],[Profit]]/Table1[[#This Row],[Sales Amount]]</f>
        <v>8.8636558036096144E-2</v>
      </c>
    </row>
    <row r="341" spans="1:10" x14ac:dyDescent="0.35">
      <c r="A341" s="1">
        <v>45241</v>
      </c>
      <c r="B341" t="s">
        <v>10</v>
      </c>
      <c r="C341" t="s">
        <v>12</v>
      </c>
      <c r="D341" t="s">
        <v>16</v>
      </c>
      <c r="E341">
        <v>9</v>
      </c>
      <c r="F341">
        <v>123.66</v>
      </c>
      <c r="G341">
        <v>48.33</v>
      </c>
      <c r="H341">
        <f>YEAR(Table1[[#This Row],[Order Date]])</f>
        <v>2023</v>
      </c>
      <c r="I341" t="str">
        <f>TEXT(Table1[[#This Row],[Order Date]],"mmmm")</f>
        <v>November</v>
      </c>
      <c r="J341" s="3">
        <f>Table1[[#This Row],[Profit]]/Table1[[#This Row],[Sales Amount]]</f>
        <v>0.39082969432314413</v>
      </c>
    </row>
    <row r="342" spans="1:10" x14ac:dyDescent="0.35">
      <c r="A342" s="1">
        <v>45098</v>
      </c>
      <c r="B342" t="s">
        <v>9</v>
      </c>
      <c r="C342" t="s">
        <v>12</v>
      </c>
      <c r="D342" t="s">
        <v>17</v>
      </c>
      <c r="E342">
        <v>1</v>
      </c>
      <c r="F342">
        <v>340.61</v>
      </c>
      <c r="G342">
        <v>50.03</v>
      </c>
      <c r="H342">
        <f>YEAR(Table1[[#This Row],[Order Date]])</f>
        <v>2023</v>
      </c>
      <c r="I342" t="str">
        <f>TEXT(Table1[[#This Row],[Order Date]],"mmmm")</f>
        <v>June</v>
      </c>
      <c r="J342" s="3">
        <f>Table1[[#This Row],[Profit]]/Table1[[#This Row],[Sales Amount]]</f>
        <v>0.14688353248583425</v>
      </c>
    </row>
    <row r="343" spans="1:10" x14ac:dyDescent="0.35">
      <c r="A343" s="1">
        <v>45045</v>
      </c>
      <c r="B343" t="s">
        <v>7</v>
      </c>
      <c r="C343" t="s">
        <v>13</v>
      </c>
      <c r="D343" t="s">
        <v>20</v>
      </c>
      <c r="E343">
        <v>9</v>
      </c>
      <c r="F343">
        <v>294.81</v>
      </c>
      <c r="G343">
        <v>99.05</v>
      </c>
      <c r="H343">
        <f>YEAR(Table1[[#This Row],[Order Date]])</f>
        <v>2023</v>
      </c>
      <c r="I343" t="str">
        <f>TEXT(Table1[[#This Row],[Order Date]],"mmmm")</f>
        <v>April</v>
      </c>
      <c r="J343" s="3">
        <f>Table1[[#This Row],[Profit]]/Table1[[#This Row],[Sales Amount]]</f>
        <v>0.33597910518639124</v>
      </c>
    </row>
    <row r="344" spans="1:10" x14ac:dyDescent="0.35">
      <c r="A344" s="1">
        <v>45075</v>
      </c>
      <c r="B344" t="s">
        <v>10</v>
      </c>
      <c r="C344" t="s">
        <v>13</v>
      </c>
      <c r="D344" t="s">
        <v>18</v>
      </c>
      <c r="E344">
        <v>8</v>
      </c>
      <c r="F344">
        <v>301.02</v>
      </c>
      <c r="G344">
        <v>35.28</v>
      </c>
      <c r="H344">
        <f>YEAR(Table1[[#This Row],[Order Date]])</f>
        <v>2023</v>
      </c>
      <c r="I344" t="str">
        <f>TEXT(Table1[[#This Row],[Order Date]],"mmmm")</f>
        <v>May</v>
      </c>
      <c r="J344" s="3">
        <f>Table1[[#This Row],[Profit]]/Table1[[#This Row],[Sales Amount]]</f>
        <v>0.11720151484951168</v>
      </c>
    </row>
    <row r="345" spans="1:10" x14ac:dyDescent="0.35">
      <c r="A345" s="1">
        <v>45182</v>
      </c>
      <c r="B345" t="s">
        <v>10</v>
      </c>
      <c r="C345" t="s">
        <v>11</v>
      </c>
      <c r="D345" t="s">
        <v>15</v>
      </c>
      <c r="E345">
        <v>9</v>
      </c>
      <c r="F345">
        <v>471.82</v>
      </c>
      <c r="G345">
        <v>16.04</v>
      </c>
      <c r="H345">
        <f>YEAR(Table1[[#This Row],[Order Date]])</f>
        <v>2023</v>
      </c>
      <c r="I345" t="str">
        <f>TEXT(Table1[[#This Row],[Order Date]],"mmmm")</f>
        <v>September</v>
      </c>
      <c r="J345" s="3">
        <f>Table1[[#This Row],[Profit]]/Table1[[#This Row],[Sales Amount]]</f>
        <v>3.3996015429612989E-2</v>
      </c>
    </row>
    <row r="346" spans="1:10" x14ac:dyDescent="0.35">
      <c r="A346" s="1">
        <v>45184</v>
      </c>
      <c r="B346" t="s">
        <v>8</v>
      </c>
      <c r="C346" t="s">
        <v>13</v>
      </c>
      <c r="D346" t="s">
        <v>20</v>
      </c>
      <c r="E346">
        <v>4</v>
      </c>
      <c r="F346">
        <v>418</v>
      </c>
      <c r="G346">
        <v>39.89</v>
      </c>
      <c r="H346">
        <f>YEAR(Table1[[#This Row],[Order Date]])</f>
        <v>2023</v>
      </c>
      <c r="I346" t="str">
        <f>TEXT(Table1[[#This Row],[Order Date]],"mmmm")</f>
        <v>September</v>
      </c>
      <c r="J346" s="3">
        <f>Table1[[#This Row],[Profit]]/Table1[[#This Row],[Sales Amount]]</f>
        <v>9.543062200956938E-2</v>
      </c>
    </row>
    <row r="347" spans="1:10" x14ac:dyDescent="0.35">
      <c r="A347" s="1">
        <v>45014</v>
      </c>
      <c r="B347" t="s">
        <v>9</v>
      </c>
      <c r="C347" t="s">
        <v>11</v>
      </c>
      <c r="D347" t="s">
        <v>22</v>
      </c>
      <c r="E347">
        <v>6</v>
      </c>
      <c r="F347">
        <v>294.01</v>
      </c>
      <c r="G347">
        <v>92.65</v>
      </c>
      <c r="H347">
        <f>YEAR(Table1[[#This Row],[Order Date]])</f>
        <v>2023</v>
      </c>
      <c r="I347" t="str">
        <f>TEXT(Table1[[#This Row],[Order Date]],"mmmm")</f>
        <v>March</v>
      </c>
      <c r="J347" s="3">
        <f>Table1[[#This Row],[Profit]]/Table1[[#This Row],[Sales Amount]]</f>
        <v>0.31512533587292951</v>
      </c>
    </row>
    <row r="348" spans="1:10" x14ac:dyDescent="0.35">
      <c r="A348" s="1">
        <v>45117</v>
      </c>
      <c r="B348" t="s">
        <v>10</v>
      </c>
      <c r="C348" t="s">
        <v>11</v>
      </c>
      <c r="D348" t="s">
        <v>14</v>
      </c>
      <c r="E348">
        <v>7</v>
      </c>
      <c r="F348">
        <v>360</v>
      </c>
      <c r="G348">
        <v>132.27000000000001</v>
      </c>
      <c r="H348">
        <f>YEAR(Table1[[#This Row],[Order Date]])</f>
        <v>2023</v>
      </c>
      <c r="I348" t="str">
        <f>TEXT(Table1[[#This Row],[Order Date]],"mmmm")</f>
        <v>July</v>
      </c>
      <c r="J348" s="3">
        <f>Table1[[#This Row],[Profit]]/Table1[[#This Row],[Sales Amount]]</f>
        <v>0.36741666666666667</v>
      </c>
    </row>
    <row r="349" spans="1:10" x14ac:dyDescent="0.35">
      <c r="A349" s="1">
        <v>45207</v>
      </c>
      <c r="B349" t="s">
        <v>9</v>
      </c>
      <c r="C349" t="s">
        <v>11</v>
      </c>
      <c r="D349" t="s">
        <v>22</v>
      </c>
      <c r="E349">
        <v>8</v>
      </c>
      <c r="F349">
        <v>257.7</v>
      </c>
      <c r="G349">
        <v>11.31</v>
      </c>
      <c r="H349">
        <f>YEAR(Table1[[#This Row],[Order Date]])</f>
        <v>2023</v>
      </c>
      <c r="I349" t="str">
        <f>TEXT(Table1[[#This Row],[Order Date]],"mmmm")</f>
        <v>October</v>
      </c>
      <c r="J349" s="3">
        <f>Table1[[#This Row],[Profit]]/Table1[[#This Row],[Sales Amount]]</f>
        <v>4.3888242142025614E-2</v>
      </c>
    </row>
    <row r="350" spans="1:10" x14ac:dyDescent="0.35">
      <c r="A350" s="1">
        <v>45290</v>
      </c>
      <c r="B350" t="s">
        <v>8</v>
      </c>
      <c r="C350" t="s">
        <v>12</v>
      </c>
      <c r="D350" t="s">
        <v>17</v>
      </c>
      <c r="E350">
        <v>1</v>
      </c>
      <c r="F350">
        <v>175.06</v>
      </c>
      <c r="G350">
        <v>37.15</v>
      </c>
      <c r="H350">
        <f>YEAR(Table1[[#This Row],[Order Date]])</f>
        <v>2023</v>
      </c>
      <c r="I350" t="str">
        <f>TEXT(Table1[[#This Row],[Order Date]],"mmmm")</f>
        <v>December</v>
      </c>
      <c r="J350" s="3">
        <f>Table1[[#This Row],[Profit]]/Table1[[#This Row],[Sales Amount]]</f>
        <v>0.21221295555809436</v>
      </c>
    </row>
    <row r="351" spans="1:10" x14ac:dyDescent="0.35">
      <c r="A351" s="1">
        <v>45280</v>
      </c>
      <c r="B351" t="s">
        <v>7</v>
      </c>
      <c r="C351" t="s">
        <v>13</v>
      </c>
      <c r="D351" t="s">
        <v>20</v>
      </c>
      <c r="E351">
        <v>5</v>
      </c>
      <c r="F351">
        <v>379.88</v>
      </c>
      <c r="G351">
        <v>96.24</v>
      </c>
      <c r="H351">
        <f>YEAR(Table1[[#This Row],[Order Date]])</f>
        <v>2023</v>
      </c>
      <c r="I351" t="str">
        <f>TEXT(Table1[[#This Row],[Order Date]],"mmmm")</f>
        <v>December</v>
      </c>
      <c r="J351" s="3">
        <f>Table1[[#This Row],[Profit]]/Table1[[#This Row],[Sales Amount]]</f>
        <v>0.25334316099820997</v>
      </c>
    </row>
    <row r="352" spans="1:10" x14ac:dyDescent="0.35">
      <c r="A352" s="1">
        <v>44992</v>
      </c>
      <c r="B352" t="s">
        <v>8</v>
      </c>
      <c r="C352" t="s">
        <v>11</v>
      </c>
      <c r="D352" t="s">
        <v>22</v>
      </c>
      <c r="E352">
        <v>9</v>
      </c>
      <c r="F352">
        <v>299.39999999999998</v>
      </c>
      <c r="G352">
        <v>10.73</v>
      </c>
      <c r="H352">
        <f>YEAR(Table1[[#This Row],[Order Date]])</f>
        <v>2023</v>
      </c>
      <c r="I352" t="str">
        <f>TEXT(Table1[[#This Row],[Order Date]],"mmmm")</f>
        <v>March</v>
      </c>
      <c r="J352" s="3">
        <f>Table1[[#This Row],[Profit]]/Table1[[#This Row],[Sales Amount]]</f>
        <v>3.5838343353373416E-2</v>
      </c>
    </row>
    <row r="353" spans="1:10" x14ac:dyDescent="0.35">
      <c r="A353" s="1">
        <v>45240</v>
      </c>
      <c r="B353" t="s">
        <v>10</v>
      </c>
      <c r="C353" t="s">
        <v>13</v>
      </c>
      <c r="D353" t="s">
        <v>20</v>
      </c>
      <c r="E353">
        <v>9</v>
      </c>
      <c r="F353">
        <v>481.13</v>
      </c>
      <c r="G353">
        <v>61.51</v>
      </c>
      <c r="H353">
        <f>YEAR(Table1[[#This Row],[Order Date]])</f>
        <v>2023</v>
      </c>
      <c r="I353" t="str">
        <f>TEXT(Table1[[#This Row],[Order Date]],"mmmm")</f>
        <v>November</v>
      </c>
      <c r="J353" s="3">
        <f>Table1[[#This Row],[Profit]]/Table1[[#This Row],[Sales Amount]]</f>
        <v>0.12784486521314406</v>
      </c>
    </row>
    <row r="354" spans="1:10" x14ac:dyDescent="0.35">
      <c r="A354" s="1">
        <v>45169</v>
      </c>
      <c r="B354" t="s">
        <v>7</v>
      </c>
      <c r="C354" t="s">
        <v>11</v>
      </c>
      <c r="D354" t="s">
        <v>14</v>
      </c>
      <c r="E354">
        <v>6</v>
      </c>
      <c r="F354">
        <v>444.49</v>
      </c>
      <c r="G354">
        <v>149.49</v>
      </c>
      <c r="H354">
        <f>YEAR(Table1[[#This Row],[Order Date]])</f>
        <v>2023</v>
      </c>
      <c r="I354" t="str">
        <f>TEXT(Table1[[#This Row],[Order Date]],"mmmm")</f>
        <v>August</v>
      </c>
      <c r="J354" s="3">
        <f>Table1[[#This Row],[Profit]]/Table1[[#This Row],[Sales Amount]]</f>
        <v>0.3363180274021913</v>
      </c>
    </row>
    <row r="355" spans="1:10" x14ac:dyDescent="0.35">
      <c r="A355" s="1">
        <v>45058</v>
      </c>
      <c r="B355" t="s">
        <v>9</v>
      </c>
      <c r="C355" t="s">
        <v>11</v>
      </c>
      <c r="D355" t="s">
        <v>15</v>
      </c>
      <c r="E355">
        <v>8</v>
      </c>
      <c r="F355">
        <v>147.74</v>
      </c>
      <c r="G355">
        <v>29.3</v>
      </c>
      <c r="H355">
        <f>YEAR(Table1[[#This Row],[Order Date]])</f>
        <v>2023</v>
      </c>
      <c r="I355" t="str">
        <f>TEXT(Table1[[#This Row],[Order Date]],"mmmm")</f>
        <v>May</v>
      </c>
      <c r="J355" s="3">
        <f>Table1[[#This Row],[Profit]]/Table1[[#This Row],[Sales Amount]]</f>
        <v>0.19832137538919722</v>
      </c>
    </row>
    <row r="356" spans="1:10" x14ac:dyDescent="0.35">
      <c r="A356" s="1">
        <v>45236</v>
      </c>
      <c r="B356" t="s">
        <v>9</v>
      </c>
      <c r="C356" t="s">
        <v>13</v>
      </c>
      <c r="D356" t="s">
        <v>19</v>
      </c>
      <c r="E356">
        <v>5</v>
      </c>
      <c r="F356">
        <v>63.08</v>
      </c>
      <c r="G356">
        <v>33.36</v>
      </c>
      <c r="H356">
        <f>YEAR(Table1[[#This Row],[Order Date]])</f>
        <v>2023</v>
      </c>
      <c r="I356" t="str">
        <f>TEXT(Table1[[#This Row],[Order Date]],"mmmm")</f>
        <v>November</v>
      </c>
      <c r="J356" s="3">
        <f>Table1[[#This Row],[Profit]]/Table1[[#This Row],[Sales Amount]]</f>
        <v>0.52885225110970202</v>
      </c>
    </row>
    <row r="357" spans="1:10" x14ac:dyDescent="0.35">
      <c r="A357" s="1">
        <v>44946</v>
      </c>
      <c r="B357" t="s">
        <v>8</v>
      </c>
      <c r="C357" t="s">
        <v>12</v>
      </c>
      <c r="D357" t="s">
        <v>17</v>
      </c>
      <c r="E357">
        <v>7</v>
      </c>
      <c r="F357">
        <v>266.44</v>
      </c>
      <c r="G357">
        <v>99.93</v>
      </c>
      <c r="H357">
        <f>YEAR(Table1[[#This Row],[Order Date]])</f>
        <v>2023</v>
      </c>
      <c r="I357" t="str">
        <f>TEXT(Table1[[#This Row],[Order Date]],"mmmm")</f>
        <v>January</v>
      </c>
      <c r="J357" s="3">
        <f>Table1[[#This Row],[Profit]]/Table1[[#This Row],[Sales Amount]]</f>
        <v>0.37505629785317524</v>
      </c>
    </row>
    <row r="358" spans="1:10" x14ac:dyDescent="0.35">
      <c r="A358" s="1">
        <v>45262</v>
      </c>
      <c r="B358" t="s">
        <v>10</v>
      </c>
      <c r="C358" t="s">
        <v>12</v>
      </c>
      <c r="D358" t="s">
        <v>17</v>
      </c>
      <c r="E358">
        <v>4</v>
      </c>
      <c r="F358">
        <v>302.3</v>
      </c>
      <c r="G358">
        <v>94.49</v>
      </c>
      <c r="H358">
        <f>YEAR(Table1[[#This Row],[Order Date]])</f>
        <v>2023</v>
      </c>
      <c r="I358" t="str">
        <f>TEXT(Table1[[#This Row],[Order Date]],"mmmm")</f>
        <v>December</v>
      </c>
      <c r="J358" s="3">
        <f>Table1[[#This Row],[Profit]]/Table1[[#This Row],[Sales Amount]]</f>
        <v>0.31257029440952694</v>
      </c>
    </row>
    <row r="359" spans="1:10" x14ac:dyDescent="0.35">
      <c r="A359" s="1">
        <v>45084</v>
      </c>
      <c r="B359" t="s">
        <v>10</v>
      </c>
      <c r="C359" t="s">
        <v>13</v>
      </c>
      <c r="D359" t="s">
        <v>19</v>
      </c>
      <c r="E359">
        <v>3</v>
      </c>
      <c r="F359">
        <v>274.22000000000003</v>
      </c>
      <c r="G359">
        <v>20.79</v>
      </c>
      <c r="H359">
        <f>YEAR(Table1[[#This Row],[Order Date]])</f>
        <v>2023</v>
      </c>
      <c r="I359" t="str">
        <f>TEXT(Table1[[#This Row],[Order Date]],"mmmm")</f>
        <v>June</v>
      </c>
      <c r="J359" s="3">
        <f>Table1[[#This Row],[Profit]]/Table1[[#This Row],[Sales Amount]]</f>
        <v>7.5815039019765135E-2</v>
      </c>
    </row>
    <row r="360" spans="1:10" x14ac:dyDescent="0.35">
      <c r="A360" s="1">
        <v>45078</v>
      </c>
      <c r="B360" t="s">
        <v>8</v>
      </c>
      <c r="C360" t="s">
        <v>13</v>
      </c>
      <c r="D360" t="s">
        <v>18</v>
      </c>
      <c r="E360">
        <v>6</v>
      </c>
      <c r="F360">
        <v>144.43</v>
      </c>
      <c r="G360">
        <v>125.52</v>
      </c>
      <c r="H360">
        <f>YEAR(Table1[[#This Row],[Order Date]])</f>
        <v>2023</v>
      </c>
      <c r="I360" t="str">
        <f>TEXT(Table1[[#This Row],[Order Date]],"mmmm")</f>
        <v>June</v>
      </c>
      <c r="J360" s="3">
        <f>Table1[[#This Row],[Profit]]/Table1[[#This Row],[Sales Amount]]</f>
        <v>0.86907152253686903</v>
      </c>
    </row>
    <row r="361" spans="1:10" x14ac:dyDescent="0.35">
      <c r="A361" s="1">
        <v>45099</v>
      </c>
      <c r="B361" t="s">
        <v>9</v>
      </c>
      <c r="C361" t="s">
        <v>11</v>
      </c>
      <c r="D361" t="s">
        <v>15</v>
      </c>
      <c r="E361">
        <v>7</v>
      </c>
      <c r="F361">
        <v>380.98</v>
      </c>
      <c r="G361">
        <v>43.02</v>
      </c>
      <c r="H361">
        <f>YEAR(Table1[[#This Row],[Order Date]])</f>
        <v>2023</v>
      </c>
      <c r="I361" t="str">
        <f>TEXT(Table1[[#This Row],[Order Date]],"mmmm")</f>
        <v>June</v>
      </c>
      <c r="J361" s="3">
        <f>Table1[[#This Row],[Profit]]/Table1[[#This Row],[Sales Amount]]</f>
        <v>0.11291931334978214</v>
      </c>
    </row>
    <row r="362" spans="1:10" x14ac:dyDescent="0.35">
      <c r="A362" s="1">
        <v>45042</v>
      </c>
      <c r="B362" t="s">
        <v>8</v>
      </c>
      <c r="C362" t="s">
        <v>11</v>
      </c>
      <c r="D362" t="s">
        <v>14</v>
      </c>
      <c r="E362">
        <v>9</v>
      </c>
      <c r="F362">
        <v>469.9</v>
      </c>
      <c r="G362">
        <v>99.96</v>
      </c>
      <c r="H362">
        <f>YEAR(Table1[[#This Row],[Order Date]])</f>
        <v>2023</v>
      </c>
      <c r="I362" t="str">
        <f>TEXT(Table1[[#This Row],[Order Date]],"mmmm")</f>
        <v>April</v>
      </c>
      <c r="J362" s="3">
        <f>Table1[[#This Row],[Profit]]/Table1[[#This Row],[Sales Amount]]</f>
        <v>0.21272611193871035</v>
      </c>
    </row>
    <row r="363" spans="1:10" x14ac:dyDescent="0.35">
      <c r="A363" s="1">
        <v>45124</v>
      </c>
      <c r="B363" t="s">
        <v>9</v>
      </c>
      <c r="C363" t="s">
        <v>12</v>
      </c>
      <c r="D363" t="s">
        <v>17</v>
      </c>
      <c r="E363">
        <v>6</v>
      </c>
      <c r="F363">
        <v>496.01</v>
      </c>
      <c r="G363">
        <v>114.61</v>
      </c>
      <c r="H363">
        <f>YEAR(Table1[[#This Row],[Order Date]])</f>
        <v>2023</v>
      </c>
      <c r="I363" t="str">
        <f>TEXT(Table1[[#This Row],[Order Date]],"mmmm")</f>
        <v>July</v>
      </c>
      <c r="J363" s="3">
        <f>Table1[[#This Row],[Profit]]/Table1[[#This Row],[Sales Amount]]</f>
        <v>0.23106388984093063</v>
      </c>
    </row>
    <row r="364" spans="1:10" x14ac:dyDescent="0.35">
      <c r="A364" s="1">
        <v>45063</v>
      </c>
      <c r="B364" t="s">
        <v>10</v>
      </c>
      <c r="C364" t="s">
        <v>11</v>
      </c>
      <c r="D364" t="s">
        <v>22</v>
      </c>
      <c r="E364">
        <v>9</v>
      </c>
      <c r="F364">
        <v>304.5</v>
      </c>
      <c r="G364">
        <v>147.15</v>
      </c>
      <c r="H364">
        <f>YEAR(Table1[[#This Row],[Order Date]])</f>
        <v>2023</v>
      </c>
      <c r="I364" t="str">
        <f>TEXT(Table1[[#This Row],[Order Date]],"mmmm")</f>
        <v>May</v>
      </c>
      <c r="J364" s="3">
        <f>Table1[[#This Row],[Profit]]/Table1[[#This Row],[Sales Amount]]</f>
        <v>0.48325123152709359</v>
      </c>
    </row>
    <row r="365" spans="1:10" x14ac:dyDescent="0.35">
      <c r="A365" s="1">
        <v>45033</v>
      </c>
      <c r="B365" t="s">
        <v>8</v>
      </c>
      <c r="C365" t="s">
        <v>11</v>
      </c>
      <c r="D365" t="s">
        <v>15</v>
      </c>
      <c r="E365">
        <v>6</v>
      </c>
      <c r="F365">
        <v>172.88</v>
      </c>
      <c r="G365">
        <v>82.53</v>
      </c>
      <c r="H365">
        <f>YEAR(Table1[[#This Row],[Order Date]])</f>
        <v>2023</v>
      </c>
      <c r="I365" t="str">
        <f>TEXT(Table1[[#This Row],[Order Date]],"mmmm")</f>
        <v>April</v>
      </c>
      <c r="J365" s="3">
        <f>Table1[[#This Row],[Profit]]/Table1[[#This Row],[Sales Amount]]</f>
        <v>0.47738315594632119</v>
      </c>
    </row>
    <row r="366" spans="1:10" x14ac:dyDescent="0.35">
      <c r="A366" s="1">
        <v>44977</v>
      </c>
      <c r="B366" t="s">
        <v>8</v>
      </c>
      <c r="C366" t="s">
        <v>12</v>
      </c>
      <c r="D366" t="s">
        <v>17</v>
      </c>
      <c r="E366">
        <v>3</v>
      </c>
      <c r="F366">
        <v>243.35</v>
      </c>
      <c r="G366">
        <v>132.18</v>
      </c>
      <c r="H366">
        <f>YEAR(Table1[[#This Row],[Order Date]])</f>
        <v>2023</v>
      </c>
      <c r="I366" t="str">
        <f>TEXT(Table1[[#This Row],[Order Date]],"mmmm")</f>
        <v>February</v>
      </c>
      <c r="J366" s="3">
        <f>Table1[[#This Row],[Profit]]/Table1[[#This Row],[Sales Amount]]</f>
        <v>0.54316827614546948</v>
      </c>
    </row>
    <row r="367" spans="1:10" x14ac:dyDescent="0.35">
      <c r="A367" s="1">
        <v>45246</v>
      </c>
      <c r="B367" t="s">
        <v>8</v>
      </c>
      <c r="C367" t="s">
        <v>12</v>
      </c>
      <c r="D367" t="s">
        <v>21</v>
      </c>
      <c r="E367">
        <v>5</v>
      </c>
      <c r="F367">
        <v>256.18</v>
      </c>
      <c r="G367">
        <v>77.62</v>
      </c>
      <c r="H367">
        <f>YEAR(Table1[[#This Row],[Order Date]])</f>
        <v>2023</v>
      </c>
      <c r="I367" t="str">
        <f>TEXT(Table1[[#This Row],[Order Date]],"mmmm")</f>
        <v>November</v>
      </c>
      <c r="J367" s="3">
        <f>Table1[[#This Row],[Profit]]/Table1[[#This Row],[Sales Amount]]</f>
        <v>0.30299008509641662</v>
      </c>
    </row>
    <row r="368" spans="1:10" x14ac:dyDescent="0.35">
      <c r="A368" s="1">
        <v>45016</v>
      </c>
      <c r="B368" t="s">
        <v>9</v>
      </c>
      <c r="C368" t="s">
        <v>13</v>
      </c>
      <c r="D368" t="s">
        <v>18</v>
      </c>
      <c r="E368">
        <v>7</v>
      </c>
      <c r="F368">
        <v>456.76</v>
      </c>
      <c r="G368">
        <v>137.31</v>
      </c>
      <c r="H368">
        <f>YEAR(Table1[[#This Row],[Order Date]])</f>
        <v>2023</v>
      </c>
      <c r="I368" t="str">
        <f>TEXT(Table1[[#This Row],[Order Date]],"mmmm")</f>
        <v>March</v>
      </c>
      <c r="J368" s="3">
        <f>Table1[[#This Row],[Profit]]/Table1[[#This Row],[Sales Amount]]</f>
        <v>0.30061739206585514</v>
      </c>
    </row>
    <row r="369" spans="1:10" x14ac:dyDescent="0.35">
      <c r="A369" s="1">
        <v>45026</v>
      </c>
      <c r="B369" t="s">
        <v>10</v>
      </c>
      <c r="C369" t="s">
        <v>12</v>
      </c>
      <c r="D369" t="s">
        <v>21</v>
      </c>
      <c r="E369">
        <v>6</v>
      </c>
      <c r="F369">
        <v>151.35</v>
      </c>
      <c r="G369">
        <v>28.39</v>
      </c>
      <c r="H369">
        <f>YEAR(Table1[[#This Row],[Order Date]])</f>
        <v>2023</v>
      </c>
      <c r="I369" t="str">
        <f>TEXT(Table1[[#This Row],[Order Date]],"mmmm")</f>
        <v>April</v>
      </c>
      <c r="J369" s="3">
        <f>Table1[[#This Row],[Profit]]/Table1[[#This Row],[Sales Amount]]</f>
        <v>0.18757846052196897</v>
      </c>
    </row>
    <row r="370" spans="1:10" x14ac:dyDescent="0.35">
      <c r="A370" s="1">
        <v>44957</v>
      </c>
      <c r="B370" t="s">
        <v>9</v>
      </c>
      <c r="C370" t="s">
        <v>12</v>
      </c>
      <c r="D370" t="s">
        <v>21</v>
      </c>
      <c r="E370">
        <v>4</v>
      </c>
      <c r="F370">
        <v>56.03</v>
      </c>
      <c r="G370">
        <v>49.58</v>
      </c>
      <c r="H370">
        <f>YEAR(Table1[[#This Row],[Order Date]])</f>
        <v>2023</v>
      </c>
      <c r="I370" t="str">
        <f>TEXT(Table1[[#This Row],[Order Date]],"mmmm")</f>
        <v>January</v>
      </c>
      <c r="J370" s="3">
        <f>Table1[[#This Row],[Profit]]/Table1[[#This Row],[Sales Amount]]</f>
        <v>0.88488309834017487</v>
      </c>
    </row>
    <row r="371" spans="1:10" x14ac:dyDescent="0.35">
      <c r="A371" s="1">
        <v>45268</v>
      </c>
      <c r="B371" t="s">
        <v>9</v>
      </c>
      <c r="C371" t="s">
        <v>13</v>
      </c>
      <c r="D371" t="s">
        <v>19</v>
      </c>
      <c r="E371">
        <v>3</v>
      </c>
      <c r="F371">
        <v>174.03</v>
      </c>
      <c r="G371">
        <v>120.2</v>
      </c>
      <c r="H371">
        <f>YEAR(Table1[[#This Row],[Order Date]])</f>
        <v>2023</v>
      </c>
      <c r="I371" t="str">
        <f>TEXT(Table1[[#This Row],[Order Date]],"mmmm")</f>
        <v>December</v>
      </c>
      <c r="J371" s="3">
        <f>Table1[[#This Row],[Profit]]/Table1[[#This Row],[Sales Amount]]</f>
        <v>0.69068551399184053</v>
      </c>
    </row>
    <row r="372" spans="1:10" x14ac:dyDescent="0.35">
      <c r="A372" s="1">
        <v>45262</v>
      </c>
      <c r="B372" t="s">
        <v>9</v>
      </c>
      <c r="C372" t="s">
        <v>13</v>
      </c>
      <c r="D372" t="s">
        <v>18</v>
      </c>
      <c r="E372">
        <v>9</v>
      </c>
      <c r="F372">
        <v>399.52</v>
      </c>
      <c r="G372">
        <v>19.149999999999999</v>
      </c>
      <c r="H372">
        <f>YEAR(Table1[[#This Row],[Order Date]])</f>
        <v>2023</v>
      </c>
      <c r="I372" t="str">
        <f>TEXT(Table1[[#This Row],[Order Date]],"mmmm")</f>
        <v>December</v>
      </c>
      <c r="J372" s="3">
        <f>Table1[[#This Row],[Profit]]/Table1[[#This Row],[Sales Amount]]</f>
        <v>4.7932519022827393E-2</v>
      </c>
    </row>
    <row r="373" spans="1:10" x14ac:dyDescent="0.35">
      <c r="A373" s="1">
        <v>45154</v>
      </c>
      <c r="B373" t="s">
        <v>9</v>
      </c>
      <c r="C373" t="s">
        <v>12</v>
      </c>
      <c r="D373" t="s">
        <v>17</v>
      </c>
      <c r="E373">
        <v>4</v>
      </c>
      <c r="F373">
        <v>328.86</v>
      </c>
      <c r="G373">
        <v>88.68</v>
      </c>
      <c r="H373">
        <f>YEAR(Table1[[#This Row],[Order Date]])</f>
        <v>2023</v>
      </c>
      <c r="I373" t="str">
        <f>TEXT(Table1[[#This Row],[Order Date]],"mmmm")</f>
        <v>August</v>
      </c>
      <c r="J373" s="3">
        <f>Table1[[#This Row],[Profit]]/Table1[[#This Row],[Sales Amount]]</f>
        <v>0.26965882138295932</v>
      </c>
    </row>
    <row r="374" spans="1:10" x14ac:dyDescent="0.35">
      <c r="A374" s="1">
        <v>45122</v>
      </c>
      <c r="B374" t="s">
        <v>10</v>
      </c>
      <c r="C374" t="s">
        <v>12</v>
      </c>
      <c r="D374" t="s">
        <v>21</v>
      </c>
      <c r="E374">
        <v>7</v>
      </c>
      <c r="F374">
        <v>88.89</v>
      </c>
      <c r="G374">
        <v>43.15</v>
      </c>
      <c r="H374">
        <f>YEAR(Table1[[#This Row],[Order Date]])</f>
        <v>2023</v>
      </c>
      <c r="I374" t="str">
        <f>TEXT(Table1[[#This Row],[Order Date]],"mmmm")</f>
        <v>July</v>
      </c>
      <c r="J374" s="3">
        <f>Table1[[#This Row],[Profit]]/Table1[[#This Row],[Sales Amount]]</f>
        <v>0.48543143210709866</v>
      </c>
    </row>
    <row r="375" spans="1:10" x14ac:dyDescent="0.35">
      <c r="A375" s="1">
        <v>45074</v>
      </c>
      <c r="B375" t="s">
        <v>9</v>
      </c>
      <c r="C375" t="s">
        <v>11</v>
      </c>
      <c r="D375" t="s">
        <v>14</v>
      </c>
      <c r="E375">
        <v>7</v>
      </c>
      <c r="F375">
        <v>227.05</v>
      </c>
      <c r="G375">
        <v>125.9</v>
      </c>
      <c r="H375">
        <f>YEAR(Table1[[#This Row],[Order Date]])</f>
        <v>2023</v>
      </c>
      <c r="I375" t="str">
        <f>TEXT(Table1[[#This Row],[Order Date]],"mmmm")</f>
        <v>May</v>
      </c>
      <c r="J375" s="3">
        <f>Table1[[#This Row],[Profit]]/Table1[[#This Row],[Sales Amount]]</f>
        <v>0.55450341334507813</v>
      </c>
    </row>
    <row r="376" spans="1:10" x14ac:dyDescent="0.35">
      <c r="A376" s="1">
        <v>45239</v>
      </c>
      <c r="B376" t="s">
        <v>8</v>
      </c>
      <c r="C376" t="s">
        <v>13</v>
      </c>
      <c r="D376" t="s">
        <v>18</v>
      </c>
      <c r="E376">
        <v>5</v>
      </c>
      <c r="F376">
        <v>165.44</v>
      </c>
      <c r="G376">
        <v>101.58</v>
      </c>
      <c r="H376">
        <f>YEAR(Table1[[#This Row],[Order Date]])</f>
        <v>2023</v>
      </c>
      <c r="I376" t="str">
        <f>TEXT(Table1[[#This Row],[Order Date]],"mmmm")</f>
        <v>November</v>
      </c>
      <c r="J376" s="3">
        <f>Table1[[#This Row],[Profit]]/Table1[[#This Row],[Sales Amount]]</f>
        <v>0.61399903288201163</v>
      </c>
    </row>
    <row r="377" spans="1:10" x14ac:dyDescent="0.35">
      <c r="A377" s="1">
        <v>45231</v>
      </c>
      <c r="B377" t="s">
        <v>7</v>
      </c>
      <c r="C377" t="s">
        <v>13</v>
      </c>
      <c r="D377" t="s">
        <v>19</v>
      </c>
      <c r="E377">
        <v>9</v>
      </c>
      <c r="F377">
        <v>476.17</v>
      </c>
      <c r="G377">
        <v>145.43</v>
      </c>
      <c r="H377">
        <f>YEAR(Table1[[#This Row],[Order Date]])</f>
        <v>2023</v>
      </c>
      <c r="I377" t="str">
        <f>TEXT(Table1[[#This Row],[Order Date]],"mmmm")</f>
        <v>November</v>
      </c>
      <c r="J377" s="3">
        <f>Table1[[#This Row],[Profit]]/Table1[[#This Row],[Sales Amount]]</f>
        <v>0.30541613289371444</v>
      </c>
    </row>
    <row r="378" spans="1:10" x14ac:dyDescent="0.35">
      <c r="A378" s="1">
        <v>45087</v>
      </c>
      <c r="B378" t="s">
        <v>10</v>
      </c>
      <c r="C378" t="s">
        <v>12</v>
      </c>
      <c r="D378" t="s">
        <v>21</v>
      </c>
      <c r="E378">
        <v>4</v>
      </c>
      <c r="F378">
        <v>238.1</v>
      </c>
      <c r="G378">
        <v>22.44</v>
      </c>
      <c r="H378">
        <f>YEAR(Table1[[#This Row],[Order Date]])</f>
        <v>2023</v>
      </c>
      <c r="I378" t="str">
        <f>TEXT(Table1[[#This Row],[Order Date]],"mmmm")</f>
        <v>June</v>
      </c>
      <c r="J378" s="3">
        <f>Table1[[#This Row],[Profit]]/Table1[[#This Row],[Sales Amount]]</f>
        <v>9.424611507769845E-2</v>
      </c>
    </row>
    <row r="379" spans="1:10" x14ac:dyDescent="0.35">
      <c r="A379" s="1">
        <v>45215</v>
      </c>
      <c r="B379" t="s">
        <v>8</v>
      </c>
      <c r="C379" t="s">
        <v>13</v>
      </c>
      <c r="D379" t="s">
        <v>20</v>
      </c>
      <c r="E379">
        <v>2</v>
      </c>
      <c r="F379">
        <v>231.79</v>
      </c>
      <c r="G379">
        <v>85.96</v>
      </c>
      <c r="H379">
        <f>YEAR(Table1[[#This Row],[Order Date]])</f>
        <v>2023</v>
      </c>
      <c r="I379" t="str">
        <f>TEXT(Table1[[#This Row],[Order Date]],"mmmm")</f>
        <v>October</v>
      </c>
      <c r="J379" s="3">
        <f>Table1[[#This Row],[Profit]]/Table1[[#This Row],[Sales Amount]]</f>
        <v>0.37085292721860302</v>
      </c>
    </row>
    <row r="380" spans="1:10" x14ac:dyDescent="0.35">
      <c r="A380" s="1">
        <v>45012</v>
      </c>
      <c r="B380" t="s">
        <v>8</v>
      </c>
      <c r="C380" t="s">
        <v>11</v>
      </c>
      <c r="D380" t="s">
        <v>22</v>
      </c>
      <c r="E380">
        <v>2</v>
      </c>
      <c r="F380">
        <v>86.78</v>
      </c>
      <c r="G380">
        <v>74.16</v>
      </c>
      <c r="H380">
        <f>YEAR(Table1[[#This Row],[Order Date]])</f>
        <v>2023</v>
      </c>
      <c r="I380" t="str">
        <f>TEXT(Table1[[#This Row],[Order Date]],"mmmm")</f>
        <v>March</v>
      </c>
      <c r="J380" s="3">
        <f>Table1[[#This Row],[Profit]]/Table1[[#This Row],[Sales Amount]]</f>
        <v>0.85457478681723897</v>
      </c>
    </row>
    <row r="381" spans="1:10" x14ac:dyDescent="0.35">
      <c r="A381" s="1">
        <v>45256</v>
      </c>
      <c r="B381" t="s">
        <v>8</v>
      </c>
      <c r="C381" t="s">
        <v>12</v>
      </c>
      <c r="D381" t="s">
        <v>21</v>
      </c>
      <c r="E381">
        <v>2</v>
      </c>
      <c r="F381">
        <v>348.88</v>
      </c>
      <c r="G381">
        <v>40.25</v>
      </c>
      <c r="H381">
        <f>YEAR(Table1[[#This Row],[Order Date]])</f>
        <v>2023</v>
      </c>
      <c r="I381" t="str">
        <f>TEXT(Table1[[#This Row],[Order Date]],"mmmm")</f>
        <v>November</v>
      </c>
      <c r="J381" s="3">
        <f>Table1[[#This Row],[Profit]]/Table1[[#This Row],[Sales Amount]]</f>
        <v>0.11536918138041734</v>
      </c>
    </row>
    <row r="382" spans="1:10" x14ac:dyDescent="0.35">
      <c r="A382" s="1">
        <v>45024</v>
      </c>
      <c r="B382" t="s">
        <v>9</v>
      </c>
      <c r="C382" t="s">
        <v>13</v>
      </c>
      <c r="D382" t="s">
        <v>19</v>
      </c>
      <c r="E382">
        <v>7</v>
      </c>
      <c r="F382">
        <v>295.44</v>
      </c>
      <c r="G382">
        <v>18.72</v>
      </c>
      <c r="H382">
        <f>YEAR(Table1[[#This Row],[Order Date]])</f>
        <v>2023</v>
      </c>
      <c r="I382" t="str">
        <f>TEXT(Table1[[#This Row],[Order Date]],"mmmm")</f>
        <v>April</v>
      </c>
      <c r="J382" s="3">
        <f>Table1[[#This Row],[Profit]]/Table1[[#This Row],[Sales Amount]]</f>
        <v>6.3363119415109664E-2</v>
      </c>
    </row>
    <row r="383" spans="1:10" x14ac:dyDescent="0.35">
      <c r="A383" s="1">
        <v>44985</v>
      </c>
      <c r="B383" t="s">
        <v>10</v>
      </c>
      <c r="C383" t="s">
        <v>13</v>
      </c>
      <c r="D383" t="s">
        <v>19</v>
      </c>
      <c r="E383">
        <v>3</v>
      </c>
      <c r="F383">
        <v>403.83</v>
      </c>
      <c r="G383">
        <v>38.19</v>
      </c>
      <c r="H383">
        <f>YEAR(Table1[[#This Row],[Order Date]])</f>
        <v>2023</v>
      </c>
      <c r="I383" t="str">
        <f>TEXT(Table1[[#This Row],[Order Date]],"mmmm")</f>
        <v>February</v>
      </c>
      <c r="J383" s="3">
        <f>Table1[[#This Row],[Profit]]/Table1[[#This Row],[Sales Amount]]</f>
        <v>9.4569497065596905E-2</v>
      </c>
    </row>
    <row r="384" spans="1:10" x14ac:dyDescent="0.35">
      <c r="A384" s="1">
        <v>45203</v>
      </c>
      <c r="B384" t="s">
        <v>9</v>
      </c>
      <c r="C384" t="s">
        <v>11</v>
      </c>
      <c r="D384" t="s">
        <v>15</v>
      </c>
      <c r="E384">
        <v>4</v>
      </c>
      <c r="F384">
        <v>390.54</v>
      </c>
      <c r="G384">
        <v>82.71</v>
      </c>
      <c r="H384">
        <f>YEAR(Table1[[#This Row],[Order Date]])</f>
        <v>2023</v>
      </c>
      <c r="I384" t="str">
        <f>TEXT(Table1[[#This Row],[Order Date]],"mmmm")</f>
        <v>October</v>
      </c>
      <c r="J384" s="3">
        <f>Table1[[#This Row],[Profit]]/Table1[[#This Row],[Sales Amount]]</f>
        <v>0.21178368412966658</v>
      </c>
    </row>
    <row r="385" spans="1:10" x14ac:dyDescent="0.35">
      <c r="A385" s="1">
        <v>45005</v>
      </c>
      <c r="B385" t="s">
        <v>10</v>
      </c>
      <c r="C385" t="s">
        <v>12</v>
      </c>
      <c r="D385" t="s">
        <v>16</v>
      </c>
      <c r="E385">
        <v>9</v>
      </c>
      <c r="F385">
        <v>302.08</v>
      </c>
      <c r="G385">
        <v>115.1</v>
      </c>
      <c r="H385">
        <f>YEAR(Table1[[#This Row],[Order Date]])</f>
        <v>2023</v>
      </c>
      <c r="I385" t="str">
        <f>TEXT(Table1[[#This Row],[Order Date]],"mmmm")</f>
        <v>March</v>
      </c>
      <c r="J385" s="3">
        <f>Table1[[#This Row],[Profit]]/Table1[[#This Row],[Sales Amount]]</f>
        <v>0.3810248940677966</v>
      </c>
    </row>
    <row r="386" spans="1:10" x14ac:dyDescent="0.35">
      <c r="A386" s="1">
        <v>44992</v>
      </c>
      <c r="B386" t="s">
        <v>8</v>
      </c>
      <c r="C386" t="s">
        <v>12</v>
      </c>
      <c r="D386" t="s">
        <v>16</v>
      </c>
      <c r="E386">
        <v>3</v>
      </c>
      <c r="F386">
        <v>459.15</v>
      </c>
      <c r="G386">
        <v>85.42</v>
      </c>
      <c r="H386">
        <f>YEAR(Table1[[#This Row],[Order Date]])</f>
        <v>2023</v>
      </c>
      <c r="I386" t="str">
        <f>TEXT(Table1[[#This Row],[Order Date]],"mmmm")</f>
        <v>March</v>
      </c>
      <c r="J386" s="3">
        <f>Table1[[#This Row],[Profit]]/Table1[[#This Row],[Sales Amount]]</f>
        <v>0.18603942066862683</v>
      </c>
    </row>
    <row r="387" spans="1:10" x14ac:dyDescent="0.35">
      <c r="A387" s="1">
        <v>45188</v>
      </c>
      <c r="B387" t="s">
        <v>7</v>
      </c>
      <c r="C387" t="s">
        <v>11</v>
      </c>
      <c r="D387" t="s">
        <v>14</v>
      </c>
      <c r="E387">
        <v>9</v>
      </c>
      <c r="F387">
        <v>228.82</v>
      </c>
      <c r="G387">
        <v>23.08</v>
      </c>
      <c r="H387">
        <f>YEAR(Table1[[#This Row],[Order Date]])</f>
        <v>2023</v>
      </c>
      <c r="I387" t="str">
        <f>TEXT(Table1[[#This Row],[Order Date]],"mmmm")</f>
        <v>September</v>
      </c>
      <c r="J387" s="3">
        <f>Table1[[#This Row],[Profit]]/Table1[[#This Row],[Sales Amount]]</f>
        <v>0.10086530897648807</v>
      </c>
    </row>
    <row r="388" spans="1:10" x14ac:dyDescent="0.35">
      <c r="A388" s="1">
        <v>45233</v>
      </c>
      <c r="B388" t="s">
        <v>7</v>
      </c>
      <c r="C388" t="s">
        <v>12</v>
      </c>
      <c r="D388" t="s">
        <v>16</v>
      </c>
      <c r="E388">
        <v>8</v>
      </c>
      <c r="F388">
        <v>179.21</v>
      </c>
      <c r="G388">
        <v>121</v>
      </c>
      <c r="H388">
        <f>YEAR(Table1[[#This Row],[Order Date]])</f>
        <v>2023</v>
      </c>
      <c r="I388" t="str">
        <f>TEXT(Table1[[#This Row],[Order Date]],"mmmm")</f>
        <v>November</v>
      </c>
      <c r="J388" s="3">
        <f>Table1[[#This Row],[Profit]]/Table1[[#This Row],[Sales Amount]]</f>
        <v>0.67518553652139945</v>
      </c>
    </row>
    <row r="389" spans="1:10" x14ac:dyDescent="0.35">
      <c r="A389" s="1">
        <v>45011</v>
      </c>
      <c r="B389" t="s">
        <v>9</v>
      </c>
      <c r="C389" t="s">
        <v>12</v>
      </c>
      <c r="D389" t="s">
        <v>17</v>
      </c>
      <c r="E389">
        <v>9</v>
      </c>
      <c r="F389">
        <v>228.19</v>
      </c>
      <c r="G389">
        <v>138.11000000000001</v>
      </c>
      <c r="H389">
        <f>YEAR(Table1[[#This Row],[Order Date]])</f>
        <v>2023</v>
      </c>
      <c r="I389" t="str">
        <f>TEXT(Table1[[#This Row],[Order Date]],"mmmm")</f>
        <v>March</v>
      </c>
      <c r="J389" s="3">
        <f>Table1[[#This Row],[Profit]]/Table1[[#This Row],[Sales Amount]]</f>
        <v>0.60524124632981291</v>
      </c>
    </row>
    <row r="390" spans="1:10" x14ac:dyDescent="0.35">
      <c r="A390" s="1">
        <v>44968</v>
      </c>
      <c r="B390" t="s">
        <v>9</v>
      </c>
      <c r="C390" t="s">
        <v>13</v>
      </c>
      <c r="D390" t="s">
        <v>18</v>
      </c>
      <c r="E390">
        <v>2</v>
      </c>
      <c r="F390">
        <v>192.54</v>
      </c>
      <c r="G390">
        <v>130.01</v>
      </c>
      <c r="H390">
        <f>YEAR(Table1[[#This Row],[Order Date]])</f>
        <v>2023</v>
      </c>
      <c r="I390" t="str">
        <f>TEXT(Table1[[#This Row],[Order Date]],"mmmm")</f>
        <v>February</v>
      </c>
      <c r="J390" s="3">
        <f>Table1[[#This Row],[Profit]]/Table1[[#This Row],[Sales Amount]]</f>
        <v>0.67523631453204525</v>
      </c>
    </row>
    <row r="391" spans="1:10" x14ac:dyDescent="0.35">
      <c r="A391" s="1">
        <v>45209</v>
      </c>
      <c r="B391" t="s">
        <v>10</v>
      </c>
      <c r="C391" t="s">
        <v>11</v>
      </c>
      <c r="D391" t="s">
        <v>14</v>
      </c>
      <c r="E391">
        <v>8</v>
      </c>
      <c r="F391">
        <v>278.17</v>
      </c>
      <c r="G391">
        <v>93.74</v>
      </c>
      <c r="H391">
        <f>YEAR(Table1[[#This Row],[Order Date]])</f>
        <v>2023</v>
      </c>
      <c r="I391" t="str">
        <f>TEXT(Table1[[#This Row],[Order Date]],"mmmm")</f>
        <v>October</v>
      </c>
      <c r="J391" s="3">
        <f>Table1[[#This Row],[Profit]]/Table1[[#This Row],[Sales Amount]]</f>
        <v>0.33698817270014736</v>
      </c>
    </row>
    <row r="392" spans="1:10" x14ac:dyDescent="0.35">
      <c r="A392" s="1">
        <v>44934</v>
      </c>
      <c r="B392" t="s">
        <v>8</v>
      </c>
      <c r="C392" t="s">
        <v>11</v>
      </c>
      <c r="D392" t="s">
        <v>14</v>
      </c>
      <c r="E392">
        <v>5</v>
      </c>
      <c r="F392">
        <v>248.15</v>
      </c>
      <c r="G392">
        <v>96.14</v>
      </c>
      <c r="H392">
        <f>YEAR(Table1[[#This Row],[Order Date]])</f>
        <v>2023</v>
      </c>
      <c r="I392" t="str">
        <f>TEXT(Table1[[#This Row],[Order Date]],"mmmm")</f>
        <v>January</v>
      </c>
      <c r="J392" s="3">
        <f>Table1[[#This Row],[Profit]]/Table1[[#This Row],[Sales Amount]]</f>
        <v>0.3874269595003022</v>
      </c>
    </row>
    <row r="393" spans="1:10" x14ac:dyDescent="0.35">
      <c r="A393" s="1">
        <v>45201</v>
      </c>
      <c r="B393" t="s">
        <v>9</v>
      </c>
      <c r="C393" t="s">
        <v>13</v>
      </c>
      <c r="D393" t="s">
        <v>20</v>
      </c>
      <c r="E393">
        <v>7</v>
      </c>
      <c r="F393">
        <v>485.21</v>
      </c>
      <c r="G393">
        <v>68.489999999999995</v>
      </c>
      <c r="H393">
        <f>YEAR(Table1[[#This Row],[Order Date]])</f>
        <v>2023</v>
      </c>
      <c r="I393" t="str">
        <f>TEXT(Table1[[#This Row],[Order Date]],"mmmm")</f>
        <v>October</v>
      </c>
      <c r="J393" s="3">
        <f>Table1[[#This Row],[Profit]]/Table1[[#This Row],[Sales Amount]]</f>
        <v>0.14115537602275302</v>
      </c>
    </row>
    <row r="394" spans="1:10" x14ac:dyDescent="0.35">
      <c r="A394" s="1">
        <v>44947</v>
      </c>
      <c r="B394" t="s">
        <v>10</v>
      </c>
      <c r="C394" t="s">
        <v>11</v>
      </c>
      <c r="D394" t="s">
        <v>22</v>
      </c>
      <c r="E394">
        <v>2</v>
      </c>
      <c r="F394">
        <v>124.68</v>
      </c>
      <c r="G394">
        <v>133.47</v>
      </c>
      <c r="H394">
        <f>YEAR(Table1[[#This Row],[Order Date]])</f>
        <v>2023</v>
      </c>
      <c r="I394" t="str">
        <f>TEXT(Table1[[#This Row],[Order Date]],"mmmm")</f>
        <v>January</v>
      </c>
      <c r="J394" s="3">
        <f>Table1[[#This Row],[Profit]]/Table1[[#This Row],[Sales Amount]]</f>
        <v>1.0705004812319536</v>
      </c>
    </row>
    <row r="395" spans="1:10" x14ac:dyDescent="0.35">
      <c r="A395" s="1">
        <v>44985</v>
      </c>
      <c r="B395" t="s">
        <v>7</v>
      </c>
      <c r="C395" t="s">
        <v>11</v>
      </c>
      <c r="D395" t="s">
        <v>14</v>
      </c>
      <c r="E395">
        <v>5</v>
      </c>
      <c r="F395">
        <v>301.89</v>
      </c>
      <c r="G395">
        <v>83.84</v>
      </c>
      <c r="H395">
        <f>YEAR(Table1[[#This Row],[Order Date]])</f>
        <v>2023</v>
      </c>
      <c r="I395" t="str">
        <f>TEXT(Table1[[#This Row],[Order Date]],"mmmm")</f>
        <v>February</v>
      </c>
      <c r="J395" s="3">
        <f>Table1[[#This Row],[Profit]]/Table1[[#This Row],[Sales Amount]]</f>
        <v>0.27771704925635166</v>
      </c>
    </row>
    <row r="396" spans="1:10" x14ac:dyDescent="0.35">
      <c r="A396" s="1">
        <v>45080</v>
      </c>
      <c r="B396" t="s">
        <v>10</v>
      </c>
      <c r="C396" t="s">
        <v>12</v>
      </c>
      <c r="D396" t="s">
        <v>16</v>
      </c>
      <c r="E396">
        <v>5</v>
      </c>
      <c r="F396">
        <v>488.06</v>
      </c>
      <c r="G396">
        <v>57.16</v>
      </c>
      <c r="H396">
        <f>YEAR(Table1[[#This Row],[Order Date]])</f>
        <v>2023</v>
      </c>
      <c r="I396" t="str">
        <f>TEXT(Table1[[#This Row],[Order Date]],"mmmm")</f>
        <v>June</v>
      </c>
      <c r="J396" s="3">
        <f>Table1[[#This Row],[Profit]]/Table1[[#This Row],[Sales Amount]]</f>
        <v>0.11711674794082694</v>
      </c>
    </row>
    <row r="397" spans="1:10" x14ac:dyDescent="0.35">
      <c r="A397" s="1">
        <v>45060</v>
      </c>
      <c r="B397" t="s">
        <v>7</v>
      </c>
      <c r="C397" t="s">
        <v>12</v>
      </c>
      <c r="D397" t="s">
        <v>21</v>
      </c>
      <c r="E397">
        <v>2</v>
      </c>
      <c r="F397">
        <v>419.74</v>
      </c>
      <c r="G397">
        <v>74.3</v>
      </c>
      <c r="H397">
        <f>YEAR(Table1[[#This Row],[Order Date]])</f>
        <v>2023</v>
      </c>
      <c r="I397" t="str">
        <f>TEXT(Table1[[#This Row],[Order Date]],"mmmm")</f>
        <v>May</v>
      </c>
      <c r="J397" s="3">
        <f>Table1[[#This Row],[Profit]]/Table1[[#This Row],[Sales Amount]]</f>
        <v>0.17701434221184542</v>
      </c>
    </row>
    <row r="398" spans="1:10" x14ac:dyDescent="0.35">
      <c r="A398" s="1">
        <v>45142</v>
      </c>
      <c r="B398" t="s">
        <v>10</v>
      </c>
      <c r="C398" t="s">
        <v>12</v>
      </c>
      <c r="D398" t="s">
        <v>16</v>
      </c>
      <c r="E398">
        <v>3</v>
      </c>
      <c r="F398">
        <v>445.92</v>
      </c>
      <c r="G398">
        <v>83.56</v>
      </c>
      <c r="H398">
        <f>YEAR(Table1[[#This Row],[Order Date]])</f>
        <v>2023</v>
      </c>
      <c r="I398" t="str">
        <f>TEXT(Table1[[#This Row],[Order Date]],"mmmm")</f>
        <v>August</v>
      </c>
      <c r="J398" s="3">
        <f>Table1[[#This Row],[Profit]]/Table1[[#This Row],[Sales Amount]]</f>
        <v>0.18738787226408324</v>
      </c>
    </row>
    <row r="399" spans="1:10" x14ac:dyDescent="0.35">
      <c r="A399" s="1">
        <v>45082</v>
      </c>
      <c r="B399" t="s">
        <v>9</v>
      </c>
      <c r="C399" t="s">
        <v>12</v>
      </c>
      <c r="D399" t="s">
        <v>16</v>
      </c>
      <c r="E399">
        <v>1</v>
      </c>
      <c r="F399">
        <v>157.94</v>
      </c>
      <c r="G399">
        <v>29.88</v>
      </c>
      <c r="H399">
        <f>YEAR(Table1[[#This Row],[Order Date]])</f>
        <v>2023</v>
      </c>
      <c r="I399" t="str">
        <f>TEXT(Table1[[#This Row],[Order Date]],"mmmm")</f>
        <v>June</v>
      </c>
      <c r="J399" s="3">
        <f>Table1[[#This Row],[Profit]]/Table1[[#This Row],[Sales Amount]]</f>
        <v>0.18918576674686591</v>
      </c>
    </row>
    <row r="400" spans="1:10" x14ac:dyDescent="0.35">
      <c r="A400" s="1">
        <v>45233</v>
      </c>
      <c r="B400" t="s">
        <v>7</v>
      </c>
      <c r="C400" t="s">
        <v>12</v>
      </c>
      <c r="D400" t="s">
        <v>16</v>
      </c>
      <c r="E400">
        <v>9</v>
      </c>
      <c r="F400">
        <v>245.98</v>
      </c>
      <c r="G400">
        <v>90.81</v>
      </c>
      <c r="H400">
        <f>YEAR(Table1[[#This Row],[Order Date]])</f>
        <v>2023</v>
      </c>
      <c r="I400" t="str">
        <f>TEXT(Table1[[#This Row],[Order Date]],"mmmm")</f>
        <v>November</v>
      </c>
      <c r="J400" s="3">
        <f>Table1[[#This Row],[Profit]]/Table1[[#This Row],[Sales Amount]]</f>
        <v>0.36917635580128466</v>
      </c>
    </row>
    <row r="401" spans="1:10" x14ac:dyDescent="0.35">
      <c r="A401" s="1">
        <v>45251</v>
      </c>
      <c r="B401" t="s">
        <v>9</v>
      </c>
      <c r="C401" t="s">
        <v>12</v>
      </c>
      <c r="D401" t="s">
        <v>17</v>
      </c>
      <c r="E401">
        <v>3</v>
      </c>
      <c r="F401">
        <v>64</v>
      </c>
      <c r="G401">
        <v>113.5</v>
      </c>
      <c r="H401">
        <f>YEAR(Table1[[#This Row],[Order Date]])</f>
        <v>2023</v>
      </c>
      <c r="I401" t="str">
        <f>TEXT(Table1[[#This Row],[Order Date]],"mmmm")</f>
        <v>November</v>
      </c>
      <c r="J401" s="3">
        <f>Table1[[#This Row],[Profit]]/Table1[[#This Row],[Sales Amount]]</f>
        <v>1.7734375</v>
      </c>
    </row>
    <row r="402" spans="1:10" x14ac:dyDescent="0.35">
      <c r="A402" s="1">
        <v>44992</v>
      </c>
      <c r="B402" t="s">
        <v>7</v>
      </c>
      <c r="C402" t="s">
        <v>13</v>
      </c>
      <c r="D402" t="s">
        <v>19</v>
      </c>
      <c r="E402">
        <v>7</v>
      </c>
      <c r="F402">
        <v>125.21</v>
      </c>
      <c r="G402">
        <v>101.74</v>
      </c>
      <c r="H402">
        <f>YEAR(Table1[[#This Row],[Order Date]])</f>
        <v>2023</v>
      </c>
      <c r="I402" t="str">
        <f>TEXT(Table1[[#This Row],[Order Date]],"mmmm")</f>
        <v>March</v>
      </c>
      <c r="J402" s="3">
        <f>Table1[[#This Row],[Profit]]/Table1[[#This Row],[Sales Amount]]</f>
        <v>0.81255490775497163</v>
      </c>
    </row>
    <row r="403" spans="1:10" x14ac:dyDescent="0.35">
      <c r="A403" s="1">
        <v>45173</v>
      </c>
      <c r="B403" t="s">
        <v>7</v>
      </c>
      <c r="C403" t="s">
        <v>12</v>
      </c>
      <c r="D403" t="s">
        <v>17</v>
      </c>
      <c r="E403">
        <v>3</v>
      </c>
      <c r="F403">
        <v>362.37</v>
      </c>
      <c r="G403">
        <v>81.77</v>
      </c>
      <c r="H403">
        <f>YEAR(Table1[[#This Row],[Order Date]])</f>
        <v>2023</v>
      </c>
      <c r="I403" t="str">
        <f>TEXT(Table1[[#This Row],[Order Date]],"mmmm")</f>
        <v>September</v>
      </c>
      <c r="J403" s="3">
        <f>Table1[[#This Row],[Profit]]/Table1[[#This Row],[Sales Amount]]</f>
        <v>0.22565333774870988</v>
      </c>
    </row>
    <row r="404" spans="1:10" x14ac:dyDescent="0.35">
      <c r="A404" s="1">
        <v>45069</v>
      </c>
      <c r="B404" t="s">
        <v>7</v>
      </c>
      <c r="C404" t="s">
        <v>13</v>
      </c>
      <c r="D404" t="s">
        <v>20</v>
      </c>
      <c r="E404">
        <v>3</v>
      </c>
      <c r="F404">
        <v>393.42</v>
      </c>
      <c r="G404">
        <v>67.16</v>
      </c>
      <c r="H404">
        <f>YEAR(Table1[[#This Row],[Order Date]])</f>
        <v>2023</v>
      </c>
      <c r="I404" t="str">
        <f>TEXT(Table1[[#This Row],[Order Date]],"mmmm")</f>
        <v>May</v>
      </c>
      <c r="J404" s="3">
        <f>Table1[[#This Row],[Profit]]/Table1[[#This Row],[Sales Amount]]</f>
        <v>0.17070814905190379</v>
      </c>
    </row>
    <row r="405" spans="1:10" x14ac:dyDescent="0.35">
      <c r="A405" s="1">
        <v>44965</v>
      </c>
      <c r="B405" t="s">
        <v>8</v>
      </c>
      <c r="C405" t="s">
        <v>13</v>
      </c>
      <c r="D405" t="s">
        <v>19</v>
      </c>
      <c r="E405">
        <v>2</v>
      </c>
      <c r="F405">
        <v>342.85</v>
      </c>
      <c r="G405">
        <v>132.38999999999999</v>
      </c>
      <c r="H405">
        <f>YEAR(Table1[[#This Row],[Order Date]])</f>
        <v>2023</v>
      </c>
      <c r="I405" t="str">
        <f>TEXT(Table1[[#This Row],[Order Date]],"mmmm")</f>
        <v>February</v>
      </c>
      <c r="J405" s="3">
        <f>Table1[[#This Row],[Profit]]/Table1[[#This Row],[Sales Amount]]</f>
        <v>0.38614554469884782</v>
      </c>
    </row>
    <row r="406" spans="1:10" x14ac:dyDescent="0.35">
      <c r="A406" s="1">
        <v>45017</v>
      </c>
      <c r="B406" t="s">
        <v>10</v>
      </c>
      <c r="C406" t="s">
        <v>11</v>
      </c>
      <c r="D406" t="s">
        <v>15</v>
      </c>
      <c r="E406">
        <v>6</v>
      </c>
      <c r="F406">
        <v>152.03</v>
      </c>
      <c r="G406">
        <v>63.43</v>
      </c>
      <c r="H406">
        <f>YEAR(Table1[[#This Row],[Order Date]])</f>
        <v>2023</v>
      </c>
      <c r="I406" t="str">
        <f>TEXT(Table1[[#This Row],[Order Date]],"mmmm")</f>
        <v>April</v>
      </c>
      <c r="J406" s="3">
        <f>Table1[[#This Row],[Profit]]/Table1[[#This Row],[Sales Amount]]</f>
        <v>0.41722028546997303</v>
      </c>
    </row>
    <row r="407" spans="1:10" x14ac:dyDescent="0.35">
      <c r="A407" s="1">
        <v>44961</v>
      </c>
      <c r="B407" t="s">
        <v>7</v>
      </c>
      <c r="C407" t="s">
        <v>13</v>
      </c>
      <c r="D407" t="s">
        <v>18</v>
      </c>
      <c r="E407">
        <v>4</v>
      </c>
      <c r="F407">
        <v>58.1</v>
      </c>
      <c r="G407">
        <v>69</v>
      </c>
      <c r="H407">
        <f>YEAR(Table1[[#This Row],[Order Date]])</f>
        <v>2023</v>
      </c>
      <c r="I407" t="str">
        <f>TEXT(Table1[[#This Row],[Order Date]],"mmmm")</f>
        <v>February</v>
      </c>
      <c r="J407" s="3">
        <f>Table1[[#This Row],[Profit]]/Table1[[#This Row],[Sales Amount]]</f>
        <v>1.1876075731497417</v>
      </c>
    </row>
    <row r="408" spans="1:10" x14ac:dyDescent="0.35">
      <c r="A408" s="1">
        <v>45080</v>
      </c>
      <c r="B408" t="s">
        <v>10</v>
      </c>
      <c r="C408" t="s">
        <v>13</v>
      </c>
      <c r="D408" t="s">
        <v>19</v>
      </c>
      <c r="E408">
        <v>6</v>
      </c>
      <c r="F408">
        <v>436.25</v>
      </c>
      <c r="G408">
        <v>50.91</v>
      </c>
      <c r="H408">
        <f>YEAR(Table1[[#This Row],[Order Date]])</f>
        <v>2023</v>
      </c>
      <c r="I408" t="str">
        <f>TEXT(Table1[[#This Row],[Order Date]],"mmmm")</f>
        <v>June</v>
      </c>
      <c r="J408" s="3">
        <f>Table1[[#This Row],[Profit]]/Table1[[#This Row],[Sales Amount]]</f>
        <v>0.11669914040114612</v>
      </c>
    </row>
    <row r="409" spans="1:10" x14ac:dyDescent="0.35">
      <c r="A409" s="1">
        <v>45201</v>
      </c>
      <c r="B409" t="s">
        <v>8</v>
      </c>
      <c r="C409" t="s">
        <v>11</v>
      </c>
      <c r="D409" t="s">
        <v>22</v>
      </c>
      <c r="E409">
        <v>7</v>
      </c>
      <c r="F409">
        <v>329.61</v>
      </c>
      <c r="G409">
        <v>88.29</v>
      </c>
      <c r="H409">
        <f>YEAR(Table1[[#This Row],[Order Date]])</f>
        <v>2023</v>
      </c>
      <c r="I409" t="str">
        <f>TEXT(Table1[[#This Row],[Order Date]],"mmmm")</f>
        <v>October</v>
      </c>
      <c r="J409" s="3">
        <f>Table1[[#This Row],[Profit]]/Table1[[#This Row],[Sales Amount]]</f>
        <v>0.26786201874943116</v>
      </c>
    </row>
    <row r="410" spans="1:10" x14ac:dyDescent="0.35">
      <c r="A410" s="1">
        <v>45047</v>
      </c>
      <c r="B410" t="s">
        <v>9</v>
      </c>
      <c r="C410" t="s">
        <v>11</v>
      </c>
      <c r="D410" t="s">
        <v>14</v>
      </c>
      <c r="E410">
        <v>4</v>
      </c>
      <c r="F410">
        <v>100.66</v>
      </c>
      <c r="G410">
        <v>108.52</v>
      </c>
      <c r="H410">
        <f>YEAR(Table1[[#This Row],[Order Date]])</f>
        <v>2023</v>
      </c>
      <c r="I410" t="str">
        <f>TEXT(Table1[[#This Row],[Order Date]],"mmmm")</f>
        <v>May</v>
      </c>
      <c r="J410" s="3">
        <f>Table1[[#This Row],[Profit]]/Table1[[#This Row],[Sales Amount]]</f>
        <v>1.078084641366978</v>
      </c>
    </row>
    <row r="411" spans="1:10" x14ac:dyDescent="0.35">
      <c r="A411" s="1">
        <v>45090</v>
      </c>
      <c r="B411" t="s">
        <v>9</v>
      </c>
      <c r="C411" t="s">
        <v>12</v>
      </c>
      <c r="D411" t="s">
        <v>21</v>
      </c>
      <c r="E411">
        <v>9</v>
      </c>
      <c r="F411">
        <v>55.58</v>
      </c>
      <c r="G411">
        <v>75.63</v>
      </c>
      <c r="H411">
        <f>YEAR(Table1[[#This Row],[Order Date]])</f>
        <v>2023</v>
      </c>
      <c r="I411" t="str">
        <f>TEXT(Table1[[#This Row],[Order Date]],"mmmm")</f>
        <v>June</v>
      </c>
      <c r="J411" s="3">
        <f>Table1[[#This Row],[Profit]]/Table1[[#This Row],[Sales Amount]]</f>
        <v>1.3607412738395106</v>
      </c>
    </row>
    <row r="412" spans="1:10" x14ac:dyDescent="0.35">
      <c r="A412" s="1">
        <v>45068</v>
      </c>
      <c r="B412" t="s">
        <v>7</v>
      </c>
      <c r="C412" t="s">
        <v>12</v>
      </c>
      <c r="D412" t="s">
        <v>21</v>
      </c>
      <c r="E412">
        <v>3</v>
      </c>
      <c r="F412">
        <v>151.86000000000001</v>
      </c>
      <c r="G412">
        <v>112.23</v>
      </c>
      <c r="H412">
        <f>YEAR(Table1[[#This Row],[Order Date]])</f>
        <v>2023</v>
      </c>
      <c r="I412" t="str">
        <f>TEXT(Table1[[#This Row],[Order Date]],"mmmm")</f>
        <v>May</v>
      </c>
      <c r="J412" s="3">
        <f>Table1[[#This Row],[Profit]]/Table1[[#This Row],[Sales Amount]]</f>
        <v>0.73903595416831291</v>
      </c>
    </row>
    <row r="413" spans="1:10" x14ac:dyDescent="0.35">
      <c r="A413" s="1">
        <v>45122</v>
      </c>
      <c r="B413" t="s">
        <v>7</v>
      </c>
      <c r="C413" t="s">
        <v>12</v>
      </c>
      <c r="D413" t="s">
        <v>16</v>
      </c>
      <c r="E413">
        <v>9</v>
      </c>
      <c r="F413">
        <v>198.68</v>
      </c>
      <c r="G413">
        <v>57.66</v>
      </c>
      <c r="H413">
        <f>YEAR(Table1[[#This Row],[Order Date]])</f>
        <v>2023</v>
      </c>
      <c r="I413" t="str">
        <f>TEXT(Table1[[#This Row],[Order Date]],"mmmm")</f>
        <v>July</v>
      </c>
      <c r="J413" s="3">
        <f>Table1[[#This Row],[Profit]]/Table1[[#This Row],[Sales Amount]]</f>
        <v>0.29021542178377285</v>
      </c>
    </row>
    <row r="414" spans="1:10" x14ac:dyDescent="0.35">
      <c r="A414" s="1">
        <v>45181</v>
      </c>
      <c r="B414" t="s">
        <v>7</v>
      </c>
      <c r="C414" t="s">
        <v>11</v>
      </c>
      <c r="D414" t="s">
        <v>22</v>
      </c>
      <c r="E414">
        <v>1</v>
      </c>
      <c r="F414">
        <v>178.38</v>
      </c>
      <c r="G414">
        <v>70.09</v>
      </c>
      <c r="H414">
        <f>YEAR(Table1[[#This Row],[Order Date]])</f>
        <v>2023</v>
      </c>
      <c r="I414" t="str">
        <f>TEXT(Table1[[#This Row],[Order Date]],"mmmm")</f>
        <v>September</v>
      </c>
      <c r="J414" s="3">
        <f>Table1[[#This Row],[Profit]]/Table1[[#This Row],[Sales Amount]]</f>
        <v>0.39292521583137124</v>
      </c>
    </row>
    <row r="415" spans="1:10" x14ac:dyDescent="0.35">
      <c r="A415" s="1">
        <v>44990</v>
      </c>
      <c r="B415" t="s">
        <v>10</v>
      </c>
      <c r="C415" t="s">
        <v>11</v>
      </c>
      <c r="D415" t="s">
        <v>15</v>
      </c>
      <c r="E415">
        <v>5</v>
      </c>
      <c r="F415">
        <v>284.64999999999998</v>
      </c>
      <c r="G415">
        <v>18.91</v>
      </c>
      <c r="H415">
        <f>YEAR(Table1[[#This Row],[Order Date]])</f>
        <v>2023</v>
      </c>
      <c r="I415" t="str">
        <f>TEXT(Table1[[#This Row],[Order Date]],"mmmm")</f>
        <v>March</v>
      </c>
      <c r="J415" s="3">
        <f>Table1[[#This Row],[Profit]]/Table1[[#This Row],[Sales Amount]]</f>
        <v>6.6432460916915514E-2</v>
      </c>
    </row>
    <row r="416" spans="1:10" x14ac:dyDescent="0.35">
      <c r="A416" s="1">
        <v>45098</v>
      </c>
      <c r="B416" t="s">
        <v>8</v>
      </c>
      <c r="C416" t="s">
        <v>12</v>
      </c>
      <c r="D416" t="s">
        <v>21</v>
      </c>
      <c r="E416">
        <v>9</v>
      </c>
      <c r="F416">
        <v>459.33</v>
      </c>
      <c r="G416">
        <v>103.69</v>
      </c>
      <c r="H416">
        <f>YEAR(Table1[[#This Row],[Order Date]])</f>
        <v>2023</v>
      </c>
      <c r="I416" t="str">
        <f>TEXT(Table1[[#This Row],[Order Date]],"mmmm")</f>
        <v>June</v>
      </c>
      <c r="J416" s="3">
        <f>Table1[[#This Row],[Profit]]/Table1[[#This Row],[Sales Amount]]</f>
        <v>0.22574184137765876</v>
      </c>
    </row>
    <row r="417" spans="1:10" x14ac:dyDescent="0.35">
      <c r="A417" s="1">
        <v>45142</v>
      </c>
      <c r="B417" t="s">
        <v>9</v>
      </c>
      <c r="C417" t="s">
        <v>12</v>
      </c>
      <c r="D417" t="s">
        <v>21</v>
      </c>
      <c r="E417">
        <v>8</v>
      </c>
      <c r="F417">
        <v>282.85000000000002</v>
      </c>
      <c r="G417">
        <v>70.260000000000005</v>
      </c>
      <c r="H417">
        <f>YEAR(Table1[[#This Row],[Order Date]])</f>
        <v>2023</v>
      </c>
      <c r="I417" t="str">
        <f>TEXT(Table1[[#This Row],[Order Date]],"mmmm")</f>
        <v>August</v>
      </c>
      <c r="J417" s="3">
        <f>Table1[[#This Row],[Profit]]/Table1[[#This Row],[Sales Amount]]</f>
        <v>0.24840021212656885</v>
      </c>
    </row>
    <row r="418" spans="1:10" x14ac:dyDescent="0.35">
      <c r="A418" s="1">
        <v>45002</v>
      </c>
      <c r="B418" t="s">
        <v>10</v>
      </c>
      <c r="C418" t="s">
        <v>13</v>
      </c>
      <c r="D418" t="s">
        <v>19</v>
      </c>
      <c r="E418">
        <v>9</v>
      </c>
      <c r="F418">
        <v>203.37</v>
      </c>
      <c r="G418">
        <v>33.08</v>
      </c>
      <c r="H418">
        <f>YEAR(Table1[[#This Row],[Order Date]])</f>
        <v>2023</v>
      </c>
      <c r="I418" t="str">
        <f>TEXT(Table1[[#This Row],[Order Date]],"mmmm")</f>
        <v>March</v>
      </c>
      <c r="J418" s="3">
        <f>Table1[[#This Row],[Profit]]/Table1[[#This Row],[Sales Amount]]</f>
        <v>0.16265919260461226</v>
      </c>
    </row>
    <row r="419" spans="1:10" x14ac:dyDescent="0.35">
      <c r="A419" s="1">
        <v>45158</v>
      </c>
      <c r="B419" t="s">
        <v>8</v>
      </c>
      <c r="C419" t="s">
        <v>13</v>
      </c>
      <c r="D419" t="s">
        <v>19</v>
      </c>
      <c r="E419">
        <v>6</v>
      </c>
      <c r="F419">
        <v>316.26</v>
      </c>
      <c r="G419">
        <v>108.37</v>
      </c>
      <c r="H419">
        <f>YEAR(Table1[[#This Row],[Order Date]])</f>
        <v>2023</v>
      </c>
      <c r="I419" t="str">
        <f>TEXT(Table1[[#This Row],[Order Date]],"mmmm")</f>
        <v>August</v>
      </c>
      <c r="J419" s="3">
        <f>Table1[[#This Row],[Profit]]/Table1[[#This Row],[Sales Amount]]</f>
        <v>0.3426611016252451</v>
      </c>
    </row>
    <row r="420" spans="1:10" x14ac:dyDescent="0.35">
      <c r="A420" s="1">
        <v>45274</v>
      </c>
      <c r="B420" t="s">
        <v>9</v>
      </c>
      <c r="C420" t="s">
        <v>11</v>
      </c>
      <c r="D420" t="s">
        <v>15</v>
      </c>
      <c r="E420">
        <v>3</v>
      </c>
      <c r="F420">
        <v>343.5</v>
      </c>
      <c r="G420">
        <v>143.07</v>
      </c>
      <c r="H420">
        <f>YEAR(Table1[[#This Row],[Order Date]])</f>
        <v>2023</v>
      </c>
      <c r="I420" t="str">
        <f>TEXT(Table1[[#This Row],[Order Date]],"mmmm")</f>
        <v>December</v>
      </c>
      <c r="J420" s="3">
        <f>Table1[[#This Row],[Profit]]/Table1[[#This Row],[Sales Amount]]</f>
        <v>0.4165065502183406</v>
      </c>
    </row>
    <row r="421" spans="1:10" x14ac:dyDescent="0.35">
      <c r="A421" s="1">
        <v>45273</v>
      </c>
      <c r="B421" t="s">
        <v>7</v>
      </c>
      <c r="C421" t="s">
        <v>13</v>
      </c>
      <c r="D421" t="s">
        <v>20</v>
      </c>
      <c r="E421">
        <v>1</v>
      </c>
      <c r="F421">
        <v>171.03</v>
      </c>
      <c r="G421">
        <v>66.98</v>
      </c>
      <c r="H421">
        <f>YEAR(Table1[[#This Row],[Order Date]])</f>
        <v>2023</v>
      </c>
      <c r="I421" t="str">
        <f>TEXT(Table1[[#This Row],[Order Date]],"mmmm")</f>
        <v>December</v>
      </c>
      <c r="J421" s="3">
        <f>Table1[[#This Row],[Profit]]/Table1[[#This Row],[Sales Amount]]</f>
        <v>0.39162719990644917</v>
      </c>
    </row>
    <row r="422" spans="1:10" x14ac:dyDescent="0.35">
      <c r="A422" s="1">
        <v>45079</v>
      </c>
      <c r="B422" t="s">
        <v>10</v>
      </c>
      <c r="C422" t="s">
        <v>13</v>
      </c>
      <c r="D422" t="s">
        <v>20</v>
      </c>
      <c r="E422">
        <v>6</v>
      </c>
      <c r="F422">
        <v>70.540000000000006</v>
      </c>
      <c r="G422">
        <v>29.6</v>
      </c>
      <c r="H422">
        <f>YEAR(Table1[[#This Row],[Order Date]])</f>
        <v>2023</v>
      </c>
      <c r="I422" t="str">
        <f>TEXT(Table1[[#This Row],[Order Date]],"mmmm")</f>
        <v>June</v>
      </c>
      <c r="J422" s="3">
        <f>Table1[[#This Row],[Profit]]/Table1[[#This Row],[Sales Amount]]</f>
        <v>0.41962007371703997</v>
      </c>
    </row>
    <row r="423" spans="1:10" x14ac:dyDescent="0.35">
      <c r="A423" s="1">
        <v>45019</v>
      </c>
      <c r="B423" t="s">
        <v>8</v>
      </c>
      <c r="C423" t="s">
        <v>13</v>
      </c>
      <c r="D423" t="s">
        <v>20</v>
      </c>
      <c r="E423">
        <v>3</v>
      </c>
      <c r="F423">
        <v>138.24</v>
      </c>
      <c r="G423">
        <v>95.51</v>
      </c>
      <c r="H423">
        <f>YEAR(Table1[[#This Row],[Order Date]])</f>
        <v>2023</v>
      </c>
      <c r="I423" t="str">
        <f>TEXT(Table1[[#This Row],[Order Date]],"mmmm")</f>
        <v>April</v>
      </c>
      <c r="J423" s="3">
        <f>Table1[[#This Row],[Profit]]/Table1[[#This Row],[Sales Amount]]</f>
        <v>0.6908998842592593</v>
      </c>
    </row>
    <row r="424" spans="1:10" x14ac:dyDescent="0.35">
      <c r="A424" s="1">
        <v>45266</v>
      </c>
      <c r="B424" t="s">
        <v>9</v>
      </c>
      <c r="C424" t="s">
        <v>12</v>
      </c>
      <c r="D424" t="s">
        <v>21</v>
      </c>
      <c r="E424">
        <v>6</v>
      </c>
      <c r="F424">
        <v>434.36</v>
      </c>
      <c r="G424">
        <v>16.93</v>
      </c>
      <c r="H424">
        <f>YEAR(Table1[[#This Row],[Order Date]])</f>
        <v>2023</v>
      </c>
      <c r="I424" t="str">
        <f>TEXT(Table1[[#This Row],[Order Date]],"mmmm")</f>
        <v>December</v>
      </c>
      <c r="J424" s="3">
        <f>Table1[[#This Row],[Profit]]/Table1[[#This Row],[Sales Amount]]</f>
        <v>3.8976885532737822E-2</v>
      </c>
    </row>
    <row r="425" spans="1:10" x14ac:dyDescent="0.35">
      <c r="A425" s="1">
        <v>45279</v>
      </c>
      <c r="B425" t="s">
        <v>10</v>
      </c>
      <c r="C425" t="s">
        <v>11</v>
      </c>
      <c r="D425" t="s">
        <v>14</v>
      </c>
      <c r="E425">
        <v>5</v>
      </c>
      <c r="F425">
        <v>247.34</v>
      </c>
      <c r="G425">
        <v>40.590000000000003</v>
      </c>
      <c r="H425">
        <f>YEAR(Table1[[#This Row],[Order Date]])</f>
        <v>2023</v>
      </c>
      <c r="I425" t="str">
        <f>TEXT(Table1[[#This Row],[Order Date]],"mmmm")</f>
        <v>December</v>
      </c>
      <c r="J425" s="3">
        <f>Table1[[#This Row],[Profit]]/Table1[[#This Row],[Sales Amount]]</f>
        <v>0.1641060887846689</v>
      </c>
    </row>
    <row r="426" spans="1:10" x14ac:dyDescent="0.35">
      <c r="A426" s="1">
        <v>45289</v>
      </c>
      <c r="B426" t="s">
        <v>10</v>
      </c>
      <c r="C426" t="s">
        <v>13</v>
      </c>
      <c r="D426" t="s">
        <v>18</v>
      </c>
      <c r="E426">
        <v>9</v>
      </c>
      <c r="F426">
        <v>228.66</v>
      </c>
      <c r="G426">
        <v>22.19</v>
      </c>
      <c r="H426">
        <f>YEAR(Table1[[#This Row],[Order Date]])</f>
        <v>2023</v>
      </c>
      <c r="I426" t="str">
        <f>TEXT(Table1[[#This Row],[Order Date]],"mmmm")</f>
        <v>December</v>
      </c>
      <c r="J426" s="3">
        <f>Table1[[#This Row],[Profit]]/Table1[[#This Row],[Sales Amount]]</f>
        <v>9.7043645587334915E-2</v>
      </c>
    </row>
    <row r="427" spans="1:10" x14ac:dyDescent="0.35">
      <c r="A427" s="1">
        <v>44943</v>
      </c>
      <c r="B427" t="s">
        <v>9</v>
      </c>
      <c r="C427" t="s">
        <v>12</v>
      </c>
      <c r="D427" t="s">
        <v>21</v>
      </c>
      <c r="E427">
        <v>3</v>
      </c>
      <c r="F427">
        <v>445.94</v>
      </c>
      <c r="G427">
        <v>90.47</v>
      </c>
      <c r="H427">
        <f>YEAR(Table1[[#This Row],[Order Date]])</f>
        <v>2023</v>
      </c>
      <c r="I427" t="str">
        <f>TEXT(Table1[[#This Row],[Order Date]],"mmmm")</f>
        <v>January</v>
      </c>
      <c r="J427" s="3">
        <f>Table1[[#This Row],[Profit]]/Table1[[#This Row],[Sales Amount]]</f>
        <v>0.20287482620980402</v>
      </c>
    </row>
    <row r="428" spans="1:10" x14ac:dyDescent="0.35">
      <c r="A428" s="1">
        <v>45118</v>
      </c>
      <c r="B428" t="s">
        <v>7</v>
      </c>
      <c r="C428" t="s">
        <v>11</v>
      </c>
      <c r="D428" t="s">
        <v>15</v>
      </c>
      <c r="E428">
        <v>3</v>
      </c>
      <c r="F428">
        <v>252.77</v>
      </c>
      <c r="G428">
        <v>140.12</v>
      </c>
      <c r="H428">
        <f>YEAR(Table1[[#This Row],[Order Date]])</f>
        <v>2023</v>
      </c>
      <c r="I428" t="str">
        <f>TEXT(Table1[[#This Row],[Order Date]],"mmmm")</f>
        <v>July</v>
      </c>
      <c r="J428" s="3">
        <f>Table1[[#This Row],[Profit]]/Table1[[#This Row],[Sales Amount]]</f>
        <v>0.55433793567274592</v>
      </c>
    </row>
    <row r="429" spans="1:10" x14ac:dyDescent="0.35">
      <c r="A429" s="1">
        <v>44927</v>
      </c>
      <c r="B429" t="s">
        <v>9</v>
      </c>
      <c r="C429" t="s">
        <v>12</v>
      </c>
      <c r="D429" t="s">
        <v>17</v>
      </c>
      <c r="E429">
        <v>8</v>
      </c>
      <c r="F429">
        <v>458.42</v>
      </c>
      <c r="G429">
        <v>109.96</v>
      </c>
      <c r="H429">
        <f>YEAR(Table1[[#This Row],[Order Date]])</f>
        <v>2023</v>
      </c>
      <c r="I429" t="str">
        <f>TEXT(Table1[[#This Row],[Order Date]],"mmmm")</f>
        <v>January</v>
      </c>
      <c r="J429" s="3">
        <f>Table1[[#This Row],[Profit]]/Table1[[#This Row],[Sales Amount]]</f>
        <v>0.23986737053357182</v>
      </c>
    </row>
    <row r="430" spans="1:10" x14ac:dyDescent="0.35">
      <c r="A430" s="1">
        <v>45166</v>
      </c>
      <c r="B430" t="s">
        <v>8</v>
      </c>
      <c r="C430" t="s">
        <v>12</v>
      </c>
      <c r="D430" t="s">
        <v>21</v>
      </c>
      <c r="E430">
        <v>7</v>
      </c>
      <c r="F430">
        <v>479.31</v>
      </c>
      <c r="G430">
        <v>111</v>
      </c>
      <c r="H430">
        <f>YEAR(Table1[[#This Row],[Order Date]])</f>
        <v>2023</v>
      </c>
      <c r="I430" t="str">
        <f>TEXT(Table1[[#This Row],[Order Date]],"mmmm")</f>
        <v>August</v>
      </c>
      <c r="J430" s="3">
        <f>Table1[[#This Row],[Profit]]/Table1[[#This Row],[Sales Amount]]</f>
        <v>0.23158290041935281</v>
      </c>
    </row>
    <row r="431" spans="1:10" x14ac:dyDescent="0.35">
      <c r="A431" s="1">
        <v>45273</v>
      </c>
      <c r="B431" t="s">
        <v>10</v>
      </c>
      <c r="C431" t="s">
        <v>12</v>
      </c>
      <c r="D431" t="s">
        <v>17</v>
      </c>
      <c r="E431">
        <v>7</v>
      </c>
      <c r="F431">
        <v>68.25</v>
      </c>
      <c r="G431">
        <v>132.02000000000001</v>
      </c>
      <c r="H431">
        <f>YEAR(Table1[[#This Row],[Order Date]])</f>
        <v>2023</v>
      </c>
      <c r="I431" t="str">
        <f>TEXT(Table1[[#This Row],[Order Date]],"mmmm")</f>
        <v>December</v>
      </c>
      <c r="J431" s="3">
        <f>Table1[[#This Row],[Profit]]/Table1[[#This Row],[Sales Amount]]</f>
        <v>1.9343589743589744</v>
      </c>
    </row>
    <row r="432" spans="1:10" x14ac:dyDescent="0.35">
      <c r="A432" s="1">
        <v>45250</v>
      </c>
      <c r="B432" t="s">
        <v>10</v>
      </c>
      <c r="C432" t="s">
        <v>13</v>
      </c>
      <c r="D432" t="s">
        <v>20</v>
      </c>
      <c r="E432">
        <v>4</v>
      </c>
      <c r="F432">
        <v>216.07</v>
      </c>
      <c r="G432">
        <v>26.94</v>
      </c>
      <c r="H432">
        <f>YEAR(Table1[[#This Row],[Order Date]])</f>
        <v>2023</v>
      </c>
      <c r="I432" t="str">
        <f>TEXT(Table1[[#This Row],[Order Date]],"mmmm")</f>
        <v>November</v>
      </c>
      <c r="J432" s="3">
        <f>Table1[[#This Row],[Profit]]/Table1[[#This Row],[Sales Amount]]</f>
        <v>0.12468181607812284</v>
      </c>
    </row>
    <row r="433" spans="1:10" x14ac:dyDescent="0.35">
      <c r="A433" s="1">
        <v>45151</v>
      </c>
      <c r="B433" t="s">
        <v>9</v>
      </c>
      <c r="C433" t="s">
        <v>12</v>
      </c>
      <c r="D433" t="s">
        <v>16</v>
      </c>
      <c r="E433">
        <v>3</v>
      </c>
      <c r="F433">
        <v>209.65</v>
      </c>
      <c r="G433">
        <v>141.84</v>
      </c>
      <c r="H433">
        <f>YEAR(Table1[[#This Row],[Order Date]])</f>
        <v>2023</v>
      </c>
      <c r="I433" t="str">
        <f>TEXT(Table1[[#This Row],[Order Date]],"mmmm")</f>
        <v>August</v>
      </c>
      <c r="J433" s="3">
        <f>Table1[[#This Row],[Profit]]/Table1[[#This Row],[Sales Amount]]</f>
        <v>0.67655616503696636</v>
      </c>
    </row>
    <row r="434" spans="1:10" x14ac:dyDescent="0.35">
      <c r="A434" s="1">
        <v>45211</v>
      </c>
      <c r="B434" t="s">
        <v>8</v>
      </c>
      <c r="C434" t="s">
        <v>11</v>
      </c>
      <c r="D434" t="s">
        <v>15</v>
      </c>
      <c r="E434">
        <v>2</v>
      </c>
      <c r="F434">
        <v>449.62</v>
      </c>
      <c r="G434">
        <v>93.82</v>
      </c>
      <c r="H434">
        <f>YEAR(Table1[[#This Row],[Order Date]])</f>
        <v>2023</v>
      </c>
      <c r="I434" t="str">
        <f>TEXT(Table1[[#This Row],[Order Date]],"mmmm")</f>
        <v>October</v>
      </c>
      <c r="J434" s="3">
        <f>Table1[[#This Row],[Profit]]/Table1[[#This Row],[Sales Amount]]</f>
        <v>0.20866509496908497</v>
      </c>
    </row>
    <row r="435" spans="1:10" x14ac:dyDescent="0.35">
      <c r="A435" s="1">
        <v>45136</v>
      </c>
      <c r="B435" t="s">
        <v>7</v>
      </c>
      <c r="C435" t="s">
        <v>13</v>
      </c>
      <c r="D435" t="s">
        <v>18</v>
      </c>
      <c r="E435">
        <v>9</v>
      </c>
      <c r="F435">
        <v>325.66000000000003</v>
      </c>
      <c r="G435">
        <v>132.32</v>
      </c>
      <c r="H435">
        <f>YEAR(Table1[[#This Row],[Order Date]])</f>
        <v>2023</v>
      </c>
      <c r="I435" t="str">
        <f>TEXT(Table1[[#This Row],[Order Date]],"mmmm")</f>
        <v>July</v>
      </c>
      <c r="J435" s="3">
        <f>Table1[[#This Row],[Profit]]/Table1[[#This Row],[Sales Amount]]</f>
        <v>0.40631333292390831</v>
      </c>
    </row>
    <row r="436" spans="1:10" x14ac:dyDescent="0.35">
      <c r="A436" s="1">
        <v>45081</v>
      </c>
      <c r="B436" t="s">
        <v>8</v>
      </c>
      <c r="C436" t="s">
        <v>13</v>
      </c>
      <c r="D436" t="s">
        <v>18</v>
      </c>
      <c r="E436">
        <v>6</v>
      </c>
      <c r="F436">
        <v>423.06</v>
      </c>
      <c r="G436">
        <v>148.78</v>
      </c>
      <c r="H436">
        <f>YEAR(Table1[[#This Row],[Order Date]])</f>
        <v>2023</v>
      </c>
      <c r="I436" t="str">
        <f>TEXT(Table1[[#This Row],[Order Date]],"mmmm")</f>
        <v>June</v>
      </c>
      <c r="J436" s="3">
        <f>Table1[[#This Row],[Profit]]/Table1[[#This Row],[Sales Amount]]</f>
        <v>0.35167588521722687</v>
      </c>
    </row>
    <row r="437" spans="1:10" x14ac:dyDescent="0.35">
      <c r="A437" s="1">
        <v>45007</v>
      </c>
      <c r="B437" t="s">
        <v>8</v>
      </c>
      <c r="C437" t="s">
        <v>13</v>
      </c>
      <c r="D437" t="s">
        <v>18</v>
      </c>
      <c r="E437">
        <v>3</v>
      </c>
      <c r="F437">
        <v>251.98</v>
      </c>
      <c r="G437">
        <v>21.81</v>
      </c>
      <c r="H437">
        <f>YEAR(Table1[[#This Row],[Order Date]])</f>
        <v>2023</v>
      </c>
      <c r="I437" t="str">
        <f>TEXT(Table1[[#This Row],[Order Date]],"mmmm")</f>
        <v>March</v>
      </c>
      <c r="J437" s="3">
        <f>Table1[[#This Row],[Profit]]/Table1[[#This Row],[Sales Amount]]</f>
        <v>8.6554488451464406E-2</v>
      </c>
    </row>
    <row r="438" spans="1:10" x14ac:dyDescent="0.35">
      <c r="A438" s="1">
        <v>45283</v>
      </c>
      <c r="B438" t="s">
        <v>8</v>
      </c>
      <c r="C438" t="s">
        <v>11</v>
      </c>
      <c r="D438" t="s">
        <v>15</v>
      </c>
      <c r="E438">
        <v>1</v>
      </c>
      <c r="F438">
        <v>147.22</v>
      </c>
      <c r="G438">
        <v>75.33</v>
      </c>
      <c r="H438">
        <f>YEAR(Table1[[#This Row],[Order Date]])</f>
        <v>2023</v>
      </c>
      <c r="I438" t="str">
        <f>TEXT(Table1[[#This Row],[Order Date]],"mmmm")</f>
        <v>December</v>
      </c>
      <c r="J438" s="3">
        <f>Table1[[#This Row],[Profit]]/Table1[[#This Row],[Sales Amount]]</f>
        <v>0.51168319521804106</v>
      </c>
    </row>
    <row r="439" spans="1:10" x14ac:dyDescent="0.35">
      <c r="A439" s="1">
        <v>45220</v>
      </c>
      <c r="B439" t="s">
        <v>9</v>
      </c>
      <c r="C439" t="s">
        <v>12</v>
      </c>
      <c r="D439" t="s">
        <v>21</v>
      </c>
      <c r="E439">
        <v>6</v>
      </c>
      <c r="F439">
        <v>433.33</v>
      </c>
      <c r="G439">
        <v>66.55</v>
      </c>
      <c r="H439">
        <f>YEAR(Table1[[#This Row],[Order Date]])</f>
        <v>2023</v>
      </c>
      <c r="I439" t="str">
        <f>TEXT(Table1[[#This Row],[Order Date]],"mmmm")</f>
        <v>October</v>
      </c>
      <c r="J439" s="3">
        <f>Table1[[#This Row],[Profit]]/Table1[[#This Row],[Sales Amount]]</f>
        <v>0.15357810444695727</v>
      </c>
    </row>
    <row r="440" spans="1:10" x14ac:dyDescent="0.35">
      <c r="A440" s="1">
        <v>44999</v>
      </c>
      <c r="B440" t="s">
        <v>8</v>
      </c>
      <c r="C440" t="s">
        <v>12</v>
      </c>
      <c r="D440" t="s">
        <v>16</v>
      </c>
      <c r="E440">
        <v>2</v>
      </c>
      <c r="F440">
        <v>222.91</v>
      </c>
      <c r="G440">
        <v>73.02</v>
      </c>
      <c r="H440">
        <f>YEAR(Table1[[#This Row],[Order Date]])</f>
        <v>2023</v>
      </c>
      <c r="I440" t="str">
        <f>TEXT(Table1[[#This Row],[Order Date]],"mmmm")</f>
        <v>March</v>
      </c>
      <c r="J440" s="3">
        <f>Table1[[#This Row],[Profit]]/Table1[[#This Row],[Sales Amount]]</f>
        <v>0.3275761518101476</v>
      </c>
    </row>
    <row r="441" spans="1:10" x14ac:dyDescent="0.35">
      <c r="A441" s="1">
        <v>44967</v>
      </c>
      <c r="B441" t="s">
        <v>7</v>
      </c>
      <c r="C441" t="s">
        <v>11</v>
      </c>
      <c r="D441" t="s">
        <v>14</v>
      </c>
      <c r="E441">
        <v>8</v>
      </c>
      <c r="F441">
        <v>450.34</v>
      </c>
      <c r="G441">
        <v>11.72</v>
      </c>
      <c r="H441">
        <f>YEAR(Table1[[#This Row],[Order Date]])</f>
        <v>2023</v>
      </c>
      <c r="I441" t="str">
        <f>TEXT(Table1[[#This Row],[Order Date]],"mmmm")</f>
        <v>February</v>
      </c>
      <c r="J441" s="3">
        <f>Table1[[#This Row],[Profit]]/Table1[[#This Row],[Sales Amount]]</f>
        <v>2.602478127636897E-2</v>
      </c>
    </row>
    <row r="442" spans="1:10" x14ac:dyDescent="0.35">
      <c r="A442" s="1">
        <v>45239</v>
      </c>
      <c r="B442" t="s">
        <v>10</v>
      </c>
      <c r="C442" t="s">
        <v>11</v>
      </c>
      <c r="D442" t="s">
        <v>22</v>
      </c>
      <c r="E442">
        <v>8</v>
      </c>
      <c r="F442">
        <v>218.55</v>
      </c>
      <c r="G442">
        <v>33.36</v>
      </c>
      <c r="H442">
        <f>YEAR(Table1[[#This Row],[Order Date]])</f>
        <v>2023</v>
      </c>
      <c r="I442" t="str">
        <f>TEXT(Table1[[#This Row],[Order Date]],"mmmm")</f>
        <v>November</v>
      </c>
      <c r="J442" s="3">
        <f>Table1[[#This Row],[Profit]]/Table1[[#This Row],[Sales Amount]]</f>
        <v>0.15264241592312972</v>
      </c>
    </row>
    <row r="443" spans="1:10" x14ac:dyDescent="0.35">
      <c r="A443" s="1">
        <v>44933</v>
      </c>
      <c r="B443" t="s">
        <v>9</v>
      </c>
      <c r="C443" t="s">
        <v>12</v>
      </c>
      <c r="D443" t="s">
        <v>21</v>
      </c>
      <c r="E443">
        <v>8</v>
      </c>
      <c r="F443">
        <v>392.86</v>
      </c>
      <c r="G443">
        <v>142.53</v>
      </c>
      <c r="H443">
        <f>YEAR(Table1[[#This Row],[Order Date]])</f>
        <v>2023</v>
      </c>
      <c r="I443" t="str">
        <f>TEXT(Table1[[#This Row],[Order Date]],"mmmm")</f>
        <v>January</v>
      </c>
      <c r="J443" s="3">
        <f>Table1[[#This Row],[Profit]]/Table1[[#This Row],[Sales Amount]]</f>
        <v>0.36280099781092501</v>
      </c>
    </row>
    <row r="444" spans="1:10" x14ac:dyDescent="0.35">
      <c r="A444" s="1">
        <v>45083</v>
      </c>
      <c r="B444" t="s">
        <v>10</v>
      </c>
      <c r="C444" t="s">
        <v>11</v>
      </c>
      <c r="D444" t="s">
        <v>15</v>
      </c>
      <c r="E444">
        <v>3</v>
      </c>
      <c r="F444">
        <v>203.27</v>
      </c>
      <c r="G444">
        <v>20.04</v>
      </c>
      <c r="H444">
        <f>YEAR(Table1[[#This Row],[Order Date]])</f>
        <v>2023</v>
      </c>
      <c r="I444" t="str">
        <f>TEXT(Table1[[#This Row],[Order Date]],"mmmm")</f>
        <v>June</v>
      </c>
      <c r="J444" s="3">
        <f>Table1[[#This Row],[Profit]]/Table1[[#This Row],[Sales Amount]]</f>
        <v>9.8588084813302501E-2</v>
      </c>
    </row>
    <row r="445" spans="1:10" x14ac:dyDescent="0.35">
      <c r="A445" s="1">
        <v>45231</v>
      </c>
      <c r="B445" t="s">
        <v>8</v>
      </c>
      <c r="C445" t="s">
        <v>13</v>
      </c>
      <c r="D445" t="s">
        <v>18</v>
      </c>
      <c r="E445">
        <v>5</v>
      </c>
      <c r="F445">
        <v>288.99</v>
      </c>
      <c r="G445">
        <v>127.84</v>
      </c>
      <c r="H445">
        <f>YEAR(Table1[[#This Row],[Order Date]])</f>
        <v>2023</v>
      </c>
      <c r="I445" t="str">
        <f>TEXT(Table1[[#This Row],[Order Date]],"mmmm")</f>
        <v>November</v>
      </c>
      <c r="J445" s="3">
        <f>Table1[[#This Row],[Profit]]/Table1[[#This Row],[Sales Amount]]</f>
        <v>0.44236824803626423</v>
      </c>
    </row>
    <row r="446" spans="1:10" x14ac:dyDescent="0.35">
      <c r="A446" s="1">
        <v>45247</v>
      </c>
      <c r="B446" t="s">
        <v>7</v>
      </c>
      <c r="C446" t="s">
        <v>13</v>
      </c>
      <c r="D446" t="s">
        <v>20</v>
      </c>
      <c r="E446">
        <v>2</v>
      </c>
      <c r="F446">
        <v>268.52</v>
      </c>
      <c r="G446">
        <v>13.86</v>
      </c>
      <c r="H446">
        <f>YEAR(Table1[[#This Row],[Order Date]])</f>
        <v>2023</v>
      </c>
      <c r="I446" t="str">
        <f>TEXT(Table1[[#This Row],[Order Date]],"mmmm")</f>
        <v>November</v>
      </c>
      <c r="J446" s="3">
        <f>Table1[[#This Row],[Profit]]/Table1[[#This Row],[Sales Amount]]</f>
        <v>5.1616266944734097E-2</v>
      </c>
    </row>
    <row r="447" spans="1:10" x14ac:dyDescent="0.35">
      <c r="A447" s="1">
        <v>44993</v>
      </c>
      <c r="B447" t="s">
        <v>7</v>
      </c>
      <c r="C447" t="s">
        <v>11</v>
      </c>
      <c r="D447" t="s">
        <v>22</v>
      </c>
      <c r="E447">
        <v>4</v>
      </c>
      <c r="F447">
        <v>94.69</v>
      </c>
      <c r="G447">
        <v>39.24</v>
      </c>
      <c r="H447">
        <f>YEAR(Table1[[#This Row],[Order Date]])</f>
        <v>2023</v>
      </c>
      <c r="I447" t="str">
        <f>TEXT(Table1[[#This Row],[Order Date]],"mmmm")</f>
        <v>March</v>
      </c>
      <c r="J447" s="3">
        <f>Table1[[#This Row],[Profit]]/Table1[[#This Row],[Sales Amount]]</f>
        <v>0.41440490020065479</v>
      </c>
    </row>
    <row r="448" spans="1:10" x14ac:dyDescent="0.35">
      <c r="A448" s="1">
        <v>45160</v>
      </c>
      <c r="B448" t="s">
        <v>7</v>
      </c>
      <c r="C448" t="s">
        <v>11</v>
      </c>
      <c r="D448" t="s">
        <v>15</v>
      </c>
      <c r="E448">
        <v>6</v>
      </c>
      <c r="F448">
        <v>390.3</v>
      </c>
      <c r="G448">
        <v>74.19</v>
      </c>
      <c r="H448">
        <f>YEAR(Table1[[#This Row],[Order Date]])</f>
        <v>2023</v>
      </c>
      <c r="I448" t="str">
        <f>TEXT(Table1[[#This Row],[Order Date]],"mmmm")</f>
        <v>August</v>
      </c>
      <c r="J448" s="3">
        <f>Table1[[#This Row],[Profit]]/Table1[[#This Row],[Sales Amount]]</f>
        <v>0.19008455034588775</v>
      </c>
    </row>
    <row r="449" spans="1:10" x14ac:dyDescent="0.35">
      <c r="A449" s="1">
        <v>45048</v>
      </c>
      <c r="B449" t="s">
        <v>8</v>
      </c>
      <c r="C449" t="s">
        <v>13</v>
      </c>
      <c r="D449" t="s">
        <v>20</v>
      </c>
      <c r="E449">
        <v>5</v>
      </c>
      <c r="F449">
        <v>263.3</v>
      </c>
      <c r="G449">
        <v>72.180000000000007</v>
      </c>
      <c r="H449">
        <f>YEAR(Table1[[#This Row],[Order Date]])</f>
        <v>2023</v>
      </c>
      <c r="I449" t="str">
        <f>TEXT(Table1[[#This Row],[Order Date]],"mmmm")</f>
        <v>May</v>
      </c>
      <c r="J449" s="3">
        <f>Table1[[#This Row],[Profit]]/Table1[[#This Row],[Sales Amount]]</f>
        <v>0.27413596657804784</v>
      </c>
    </row>
    <row r="450" spans="1:10" x14ac:dyDescent="0.35">
      <c r="A450" s="1">
        <v>45127</v>
      </c>
      <c r="B450" t="s">
        <v>8</v>
      </c>
      <c r="C450" t="s">
        <v>13</v>
      </c>
      <c r="D450" t="s">
        <v>20</v>
      </c>
      <c r="E450">
        <v>4</v>
      </c>
      <c r="F450">
        <v>63.92</v>
      </c>
      <c r="G450">
        <v>145.9</v>
      </c>
      <c r="H450">
        <f>YEAR(Table1[[#This Row],[Order Date]])</f>
        <v>2023</v>
      </c>
      <c r="I450" t="str">
        <f>TEXT(Table1[[#This Row],[Order Date]],"mmmm")</f>
        <v>July</v>
      </c>
      <c r="J450" s="3">
        <f>Table1[[#This Row],[Profit]]/Table1[[#This Row],[Sales Amount]]</f>
        <v>2.2825406758448059</v>
      </c>
    </row>
    <row r="451" spans="1:10" x14ac:dyDescent="0.35">
      <c r="A451" s="1">
        <v>44994</v>
      </c>
      <c r="B451" t="s">
        <v>8</v>
      </c>
      <c r="C451" t="s">
        <v>13</v>
      </c>
      <c r="D451" t="s">
        <v>20</v>
      </c>
      <c r="E451">
        <v>9</v>
      </c>
      <c r="F451">
        <v>299.17</v>
      </c>
      <c r="G451">
        <v>85.84</v>
      </c>
      <c r="H451">
        <f>YEAR(Table1[[#This Row],[Order Date]])</f>
        <v>2023</v>
      </c>
      <c r="I451" t="str">
        <f>TEXT(Table1[[#This Row],[Order Date]],"mmmm")</f>
        <v>March</v>
      </c>
      <c r="J451" s="3">
        <f>Table1[[#This Row],[Profit]]/Table1[[#This Row],[Sales Amount]]</f>
        <v>0.28692716515693417</v>
      </c>
    </row>
    <row r="452" spans="1:10" x14ac:dyDescent="0.35">
      <c r="A452" s="1">
        <v>45235</v>
      </c>
      <c r="B452" t="s">
        <v>7</v>
      </c>
      <c r="C452" t="s">
        <v>13</v>
      </c>
      <c r="D452" t="s">
        <v>19</v>
      </c>
      <c r="E452">
        <v>3</v>
      </c>
      <c r="F452">
        <v>210.28</v>
      </c>
      <c r="G452">
        <v>125.75</v>
      </c>
      <c r="H452">
        <f>YEAR(Table1[[#This Row],[Order Date]])</f>
        <v>2023</v>
      </c>
      <c r="I452" t="str">
        <f>TEXT(Table1[[#This Row],[Order Date]],"mmmm")</f>
        <v>November</v>
      </c>
      <c r="J452" s="3">
        <f>Table1[[#This Row],[Profit]]/Table1[[#This Row],[Sales Amount]]</f>
        <v>0.59801217424386532</v>
      </c>
    </row>
    <row r="453" spans="1:10" x14ac:dyDescent="0.35">
      <c r="A453" s="1">
        <v>44977</v>
      </c>
      <c r="B453" t="s">
        <v>10</v>
      </c>
      <c r="C453" t="s">
        <v>12</v>
      </c>
      <c r="D453" t="s">
        <v>21</v>
      </c>
      <c r="E453">
        <v>5</v>
      </c>
      <c r="F453">
        <v>204.1</v>
      </c>
      <c r="G453">
        <v>47.83</v>
      </c>
      <c r="H453">
        <f>YEAR(Table1[[#This Row],[Order Date]])</f>
        <v>2023</v>
      </c>
      <c r="I453" t="str">
        <f>TEXT(Table1[[#This Row],[Order Date]],"mmmm")</f>
        <v>February</v>
      </c>
      <c r="J453" s="3">
        <f>Table1[[#This Row],[Profit]]/Table1[[#This Row],[Sales Amount]]</f>
        <v>0.23434590886820186</v>
      </c>
    </row>
    <row r="454" spans="1:10" x14ac:dyDescent="0.35">
      <c r="A454" s="1">
        <v>45285</v>
      </c>
      <c r="B454" t="s">
        <v>9</v>
      </c>
      <c r="C454" t="s">
        <v>11</v>
      </c>
      <c r="D454" t="s">
        <v>14</v>
      </c>
      <c r="E454">
        <v>1</v>
      </c>
      <c r="F454">
        <v>311.20999999999998</v>
      </c>
      <c r="G454">
        <v>29.49</v>
      </c>
      <c r="H454">
        <f>YEAR(Table1[[#This Row],[Order Date]])</f>
        <v>2023</v>
      </c>
      <c r="I454" t="str">
        <f>TEXT(Table1[[#This Row],[Order Date]],"mmmm")</f>
        <v>December</v>
      </c>
      <c r="J454" s="3">
        <f>Table1[[#This Row],[Profit]]/Table1[[#This Row],[Sales Amount]]</f>
        <v>9.4759165836573372E-2</v>
      </c>
    </row>
    <row r="455" spans="1:10" x14ac:dyDescent="0.35">
      <c r="A455" s="1">
        <v>45037</v>
      </c>
      <c r="B455" t="s">
        <v>10</v>
      </c>
      <c r="C455" t="s">
        <v>11</v>
      </c>
      <c r="D455" t="s">
        <v>14</v>
      </c>
      <c r="E455">
        <v>4</v>
      </c>
      <c r="F455">
        <v>230.8</v>
      </c>
      <c r="G455">
        <v>149.13999999999999</v>
      </c>
      <c r="H455">
        <f>YEAR(Table1[[#This Row],[Order Date]])</f>
        <v>2023</v>
      </c>
      <c r="I455" t="str">
        <f>TEXT(Table1[[#This Row],[Order Date]],"mmmm")</f>
        <v>April</v>
      </c>
      <c r="J455" s="3">
        <f>Table1[[#This Row],[Profit]]/Table1[[#This Row],[Sales Amount]]</f>
        <v>0.64618717504332746</v>
      </c>
    </row>
    <row r="456" spans="1:10" x14ac:dyDescent="0.35">
      <c r="A456" s="1">
        <v>45030</v>
      </c>
      <c r="B456" t="s">
        <v>10</v>
      </c>
      <c r="C456" t="s">
        <v>13</v>
      </c>
      <c r="D456" t="s">
        <v>20</v>
      </c>
      <c r="E456">
        <v>8</v>
      </c>
      <c r="F456">
        <v>329.3</v>
      </c>
      <c r="G456">
        <v>38.18</v>
      </c>
      <c r="H456">
        <f>YEAR(Table1[[#This Row],[Order Date]])</f>
        <v>2023</v>
      </c>
      <c r="I456" t="str">
        <f>TEXT(Table1[[#This Row],[Order Date]],"mmmm")</f>
        <v>April</v>
      </c>
      <c r="J456" s="3">
        <f>Table1[[#This Row],[Profit]]/Table1[[#This Row],[Sales Amount]]</f>
        <v>0.11594290920133617</v>
      </c>
    </row>
    <row r="457" spans="1:10" x14ac:dyDescent="0.35">
      <c r="A457" s="1">
        <v>44934</v>
      </c>
      <c r="B457" t="s">
        <v>9</v>
      </c>
      <c r="C457" t="s">
        <v>12</v>
      </c>
      <c r="D457" t="s">
        <v>21</v>
      </c>
      <c r="E457">
        <v>1</v>
      </c>
      <c r="F457">
        <v>369.9</v>
      </c>
      <c r="G457">
        <v>136.97</v>
      </c>
      <c r="H457">
        <f>YEAR(Table1[[#This Row],[Order Date]])</f>
        <v>2023</v>
      </c>
      <c r="I457" t="str">
        <f>TEXT(Table1[[#This Row],[Order Date]],"mmmm")</f>
        <v>January</v>
      </c>
      <c r="J457" s="3">
        <f>Table1[[#This Row],[Profit]]/Table1[[#This Row],[Sales Amount]]</f>
        <v>0.37028926736955936</v>
      </c>
    </row>
    <row r="458" spans="1:10" x14ac:dyDescent="0.35">
      <c r="A458" s="1">
        <v>44990</v>
      </c>
      <c r="B458" t="s">
        <v>7</v>
      </c>
      <c r="C458" t="s">
        <v>11</v>
      </c>
      <c r="D458" t="s">
        <v>22</v>
      </c>
      <c r="E458">
        <v>2</v>
      </c>
      <c r="F458">
        <v>374.96</v>
      </c>
      <c r="G458">
        <v>84.67</v>
      </c>
      <c r="H458">
        <f>YEAR(Table1[[#This Row],[Order Date]])</f>
        <v>2023</v>
      </c>
      <c r="I458" t="str">
        <f>TEXT(Table1[[#This Row],[Order Date]],"mmmm")</f>
        <v>March</v>
      </c>
      <c r="J458" s="3">
        <f>Table1[[#This Row],[Profit]]/Table1[[#This Row],[Sales Amount]]</f>
        <v>0.22581075314700236</v>
      </c>
    </row>
    <row r="459" spans="1:10" x14ac:dyDescent="0.35">
      <c r="A459" s="1">
        <v>45075</v>
      </c>
      <c r="B459" t="s">
        <v>10</v>
      </c>
      <c r="C459" t="s">
        <v>13</v>
      </c>
      <c r="D459" t="s">
        <v>19</v>
      </c>
      <c r="E459">
        <v>7</v>
      </c>
      <c r="F459">
        <v>106.17</v>
      </c>
      <c r="G459">
        <v>121.19</v>
      </c>
      <c r="H459">
        <f>YEAR(Table1[[#This Row],[Order Date]])</f>
        <v>2023</v>
      </c>
      <c r="I459" t="str">
        <f>TEXT(Table1[[#This Row],[Order Date]],"mmmm")</f>
        <v>May</v>
      </c>
      <c r="J459" s="3">
        <f>Table1[[#This Row],[Profit]]/Table1[[#This Row],[Sales Amount]]</f>
        <v>1.1414712253932373</v>
      </c>
    </row>
    <row r="460" spans="1:10" x14ac:dyDescent="0.35">
      <c r="A460" s="1">
        <v>44972</v>
      </c>
      <c r="B460" t="s">
        <v>10</v>
      </c>
      <c r="C460" t="s">
        <v>12</v>
      </c>
      <c r="D460" t="s">
        <v>16</v>
      </c>
      <c r="E460">
        <v>1</v>
      </c>
      <c r="F460">
        <v>477.1</v>
      </c>
      <c r="G460">
        <v>81.81</v>
      </c>
      <c r="H460">
        <f>YEAR(Table1[[#This Row],[Order Date]])</f>
        <v>2023</v>
      </c>
      <c r="I460" t="str">
        <f>TEXT(Table1[[#This Row],[Order Date]],"mmmm")</f>
        <v>February</v>
      </c>
      <c r="J460" s="3">
        <f>Table1[[#This Row],[Profit]]/Table1[[#This Row],[Sales Amount]]</f>
        <v>0.17147348564242296</v>
      </c>
    </row>
    <row r="461" spans="1:10" x14ac:dyDescent="0.35">
      <c r="A461" s="1">
        <v>45109</v>
      </c>
      <c r="B461" t="s">
        <v>10</v>
      </c>
      <c r="C461" t="s">
        <v>13</v>
      </c>
      <c r="D461" t="s">
        <v>18</v>
      </c>
      <c r="E461">
        <v>1</v>
      </c>
      <c r="F461">
        <v>303.22000000000003</v>
      </c>
      <c r="G461">
        <v>71.77</v>
      </c>
      <c r="H461">
        <f>YEAR(Table1[[#This Row],[Order Date]])</f>
        <v>2023</v>
      </c>
      <c r="I461" t="str">
        <f>TEXT(Table1[[#This Row],[Order Date]],"mmmm")</f>
        <v>July</v>
      </c>
      <c r="J461" s="3">
        <f>Table1[[#This Row],[Profit]]/Table1[[#This Row],[Sales Amount]]</f>
        <v>0.23669283028823954</v>
      </c>
    </row>
    <row r="462" spans="1:10" x14ac:dyDescent="0.35">
      <c r="A462" s="1">
        <v>45129</v>
      </c>
      <c r="B462" t="s">
        <v>9</v>
      </c>
      <c r="C462" t="s">
        <v>11</v>
      </c>
      <c r="D462" t="s">
        <v>22</v>
      </c>
      <c r="E462">
        <v>3</v>
      </c>
      <c r="F462">
        <v>309.77999999999997</v>
      </c>
      <c r="G462">
        <v>131.18</v>
      </c>
      <c r="H462">
        <f>YEAR(Table1[[#This Row],[Order Date]])</f>
        <v>2023</v>
      </c>
      <c r="I462" t="str">
        <f>TEXT(Table1[[#This Row],[Order Date]],"mmmm")</f>
        <v>July</v>
      </c>
      <c r="J462" s="3">
        <f>Table1[[#This Row],[Profit]]/Table1[[#This Row],[Sales Amount]]</f>
        <v>0.42346181160823815</v>
      </c>
    </row>
    <row r="463" spans="1:10" x14ac:dyDescent="0.35">
      <c r="A463" s="1">
        <v>45145</v>
      </c>
      <c r="B463" t="s">
        <v>10</v>
      </c>
      <c r="C463" t="s">
        <v>13</v>
      </c>
      <c r="D463" t="s">
        <v>19</v>
      </c>
      <c r="E463">
        <v>4</v>
      </c>
      <c r="F463">
        <v>412.97</v>
      </c>
      <c r="G463">
        <v>76.709999999999994</v>
      </c>
      <c r="H463">
        <f>YEAR(Table1[[#This Row],[Order Date]])</f>
        <v>2023</v>
      </c>
      <c r="I463" t="str">
        <f>TEXT(Table1[[#This Row],[Order Date]],"mmmm")</f>
        <v>August</v>
      </c>
      <c r="J463" s="3">
        <f>Table1[[#This Row],[Profit]]/Table1[[#This Row],[Sales Amount]]</f>
        <v>0.18575199167009707</v>
      </c>
    </row>
    <row r="464" spans="1:10" x14ac:dyDescent="0.35">
      <c r="A464" s="1">
        <v>45255</v>
      </c>
      <c r="B464" t="s">
        <v>9</v>
      </c>
      <c r="C464" t="s">
        <v>11</v>
      </c>
      <c r="D464" t="s">
        <v>22</v>
      </c>
      <c r="E464">
        <v>1</v>
      </c>
      <c r="F464">
        <v>338.09</v>
      </c>
      <c r="G464">
        <v>51.78</v>
      </c>
      <c r="H464">
        <f>YEAR(Table1[[#This Row],[Order Date]])</f>
        <v>2023</v>
      </c>
      <c r="I464" t="str">
        <f>TEXT(Table1[[#This Row],[Order Date]],"mmmm")</f>
        <v>November</v>
      </c>
      <c r="J464" s="3">
        <f>Table1[[#This Row],[Profit]]/Table1[[#This Row],[Sales Amount]]</f>
        <v>0.15315448549202876</v>
      </c>
    </row>
    <row r="465" spans="1:10" x14ac:dyDescent="0.35">
      <c r="A465" s="1">
        <v>44989</v>
      </c>
      <c r="B465" t="s">
        <v>10</v>
      </c>
      <c r="C465" t="s">
        <v>11</v>
      </c>
      <c r="D465" t="s">
        <v>14</v>
      </c>
      <c r="E465">
        <v>5</v>
      </c>
      <c r="F465">
        <v>279.69</v>
      </c>
      <c r="G465">
        <v>97.72</v>
      </c>
      <c r="H465">
        <f>YEAR(Table1[[#This Row],[Order Date]])</f>
        <v>2023</v>
      </c>
      <c r="I465" t="str">
        <f>TEXT(Table1[[#This Row],[Order Date]],"mmmm")</f>
        <v>March</v>
      </c>
      <c r="J465" s="3">
        <f>Table1[[#This Row],[Profit]]/Table1[[#This Row],[Sales Amount]]</f>
        <v>0.34938682112338659</v>
      </c>
    </row>
    <row r="466" spans="1:10" x14ac:dyDescent="0.35">
      <c r="A466" s="1">
        <v>45134</v>
      </c>
      <c r="B466" t="s">
        <v>10</v>
      </c>
      <c r="C466" t="s">
        <v>11</v>
      </c>
      <c r="D466" t="s">
        <v>15</v>
      </c>
      <c r="E466">
        <v>6</v>
      </c>
      <c r="F466">
        <v>375.22</v>
      </c>
      <c r="G466">
        <v>106.95</v>
      </c>
      <c r="H466">
        <f>YEAR(Table1[[#This Row],[Order Date]])</f>
        <v>2023</v>
      </c>
      <c r="I466" t="str">
        <f>TEXT(Table1[[#This Row],[Order Date]],"mmmm")</f>
        <v>July</v>
      </c>
      <c r="J466" s="3">
        <f>Table1[[#This Row],[Profit]]/Table1[[#This Row],[Sales Amount]]</f>
        <v>0.28503278076861571</v>
      </c>
    </row>
    <row r="467" spans="1:10" x14ac:dyDescent="0.35">
      <c r="A467" s="1">
        <v>45246</v>
      </c>
      <c r="B467" t="s">
        <v>10</v>
      </c>
      <c r="C467" t="s">
        <v>13</v>
      </c>
      <c r="D467" t="s">
        <v>20</v>
      </c>
      <c r="E467">
        <v>2</v>
      </c>
      <c r="F467">
        <v>200.03</v>
      </c>
      <c r="G467">
        <v>112.63</v>
      </c>
      <c r="H467">
        <f>YEAR(Table1[[#This Row],[Order Date]])</f>
        <v>2023</v>
      </c>
      <c r="I467" t="str">
        <f>TEXT(Table1[[#This Row],[Order Date]],"mmmm")</f>
        <v>November</v>
      </c>
      <c r="J467" s="3">
        <f>Table1[[#This Row],[Profit]]/Table1[[#This Row],[Sales Amount]]</f>
        <v>0.56306554016897459</v>
      </c>
    </row>
    <row r="468" spans="1:10" x14ac:dyDescent="0.35">
      <c r="A468" s="1">
        <v>44983</v>
      </c>
      <c r="B468" t="s">
        <v>10</v>
      </c>
      <c r="C468" t="s">
        <v>13</v>
      </c>
      <c r="D468" t="s">
        <v>19</v>
      </c>
      <c r="E468">
        <v>3</v>
      </c>
      <c r="F468">
        <v>499.02</v>
      </c>
      <c r="G468">
        <v>104.75</v>
      </c>
      <c r="H468">
        <f>YEAR(Table1[[#This Row],[Order Date]])</f>
        <v>2023</v>
      </c>
      <c r="I468" t="str">
        <f>TEXT(Table1[[#This Row],[Order Date]],"mmmm")</f>
        <v>February</v>
      </c>
      <c r="J468" s="3">
        <f>Table1[[#This Row],[Profit]]/Table1[[#This Row],[Sales Amount]]</f>
        <v>0.20991142639573565</v>
      </c>
    </row>
    <row r="469" spans="1:10" x14ac:dyDescent="0.35">
      <c r="A469" s="1">
        <v>45253</v>
      </c>
      <c r="B469" t="s">
        <v>10</v>
      </c>
      <c r="C469" t="s">
        <v>12</v>
      </c>
      <c r="D469" t="s">
        <v>17</v>
      </c>
      <c r="E469">
        <v>3</v>
      </c>
      <c r="F469">
        <v>382.04</v>
      </c>
      <c r="G469">
        <v>126.78</v>
      </c>
      <c r="H469">
        <f>YEAR(Table1[[#This Row],[Order Date]])</f>
        <v>2023</v>
      </c>
      <c r="I469" t="str">
        <f>TEXT(Table1[[#This Row],[Order Date]],"mmmm")</f>
        <v>November</v>
      </c>
      <c r="J469" s="3">
        <f>Table1[[#This Row],[Profit]]/Table1[[#This Row],[Sales Amount]]</f>
        <v>0.33185006805570094</v>
      </c>
    </row>
    <row r="470" spans="1:10" x14ac:dyDescent="0.35">
      <c r="A470" s="1">
        <v>44963</v>
      </c>
      <c r="B470" t="s">
        <v>8</v>
      </c>
      <c r="C470" t="s">
        <v>12</v>
      </c>
      <c r="D470" t="s">
        <v>21</v>
      </c>
      <c r="E470">
        <v>9</v>
      </c>
      <c r="F470">
        <v>394.75</v>
      </c>
      <c r="G470">
        <v>128.43</v>
      </c>
      <c r="H470">
        <f>YEAR(Table1[[#This Row],[Order Date]])</f>
        <v>2023</v>
      </c>
      <c r="I470" t="str">
        <f>TEXT(Table1[[#This Row],[Order Date]],"mmmm")</f>
        <v>February</v>
      </c>
      <c r="J470" s="3">
        <f>Table1[[#This Row],[Profit]]/Table1[[#This Row],[Sales Amount]]</f>
        <v>0.32534515516149465</v>
      </c>
    </row>
    <row r="471" spans="1:10" x14ac:dyDescent="0.35">
      <c r="A471" s="1">
        <v>45117</v>
      </c>
      <c r="B471" t="s">
        <v>9</v>
      </c>
      <c r="C471" t="s">
        <v>13</v>
      </c>
      <c r="D471" t="s">
        <v>19</v>
      </c>
      <c r="E471">
        <v>9</v>
      </c>
      <c r="F471">
        <v>375.42</v>
      </c>
      <c r="G471">
        <v>49.25</v>
      </c>
      <c r="H471">
        <f>YEAR(Table1[[#This Row],[Order Date]])</f>
        <v>2023</v>
      </c>
      <c r="I471" t="str">
        <f>TEXT(Table1[[#This Row],[Order Date]],"mmmm")</f>
        <v>July</v>
      </c>
      <c r="J471" s="3">
        <f>Table1[[#This Row],[Profit]]/Table1[[#This Row],[Sales Amount]]</f>
        <v>0.13118640456022587</v>
      </c>
    </row>
    <row r="472" spans="1:10" x14ac:dyDescent="0.35">
      <c r="A472" s="1">
        <v>45284</v>
      </c>
      <c r="B472" t="s">
        <v>7</v>
      </c>
      <c r="C472" t="s">
        <v>13</v>
      </c>
      <c r="D472" t="s">
        <v>19</v>
      </c>
      <c r="E472">
        <v>8</v>
      </c>
      <c r="F472">
        <v>99.95</v>
      </c>
      <c r="G472">
        <v>123.15</v>
      </c>
      <c r="H472">
        <f>YEAR(Table1[[#This Row],[Order Date]])</f>
        <v>2023</v>
      </c>
      <c r="I472" t="str">
        <f>TEXT(Table1[[#This Row],[Order Date]],"mmmm")</f>
        <v>December</v>
      </c>
      <c r="J472" s="3">
        <f>Table1[[#This Row],[Profit]]/Table1[[#This Row],[Sales Amount]]</f>
        <v>1.2321160580290145</v>
      </c>
    </row>
    <row r="473" spans="1:10" x14ac:dyDescent="0.35">
      <c r="A473" s="1">
        <v>45216</v>
      </c>
      <c r="B473" t="s">
        <v>8</v>
      </c>
      <c r="C473" t="s">
        <v>12</v>
      </c>
      <c r="D473" t="s">
        <v>21</v>
      </c>
      <c r="E473">
        <v>3</v>
      </c>
      <c r="F473">
        <v>285.16000000000003</v>
      </c>
      <c r="G473">
        <v>51.94</v>
      </c>
      <c r="H473">
        <f>YEAR(Table1[[#This Row],[Order Date]])</f>
        <v>2023</v>
      </c>
      <c r="I473" t="str">
        <f>TEXT(Table1[[#This Row],[Order Date]],"mmmm")</f>
        <v>October</v>
      </c>
      <c r="J473" s="3">
        <f>Table1[[#This Row],[Profit]]/Table1[[#This Row],[Sales Amount]]</f>
        <v>0.18214335811474258</v>
      </c>
    </row>
    <row r="474" spans="1:10" x14ac:dyDescent="0.35">
      <c r="A474" s="1">
        <v>45088</v>
      </c>
      <c r="B474" t="s">
        <v>10</v>
      </c>
      <c r="C474" t="s">
        <v>12</v>
      </c>
      <c r="D474" t="s">
        <v>16</v>
      </c>
      <c r="E474">
        <v>2</v>
      </c>
      <c r="F474">
        <v>82.81</v>
      </c>
      <c r="G474">
        <v>66.400000000000006</v>
      </c>
      <c r="H474">
        <f>YEAR(Table1[[#This Row],[Order Date]])</f>
        <v>2023</v>
      </c>
      <c r="I474" t="str">
        <f>TEXT(Table1[[#This Row],[Order Date]],"mmmm")</f>
        <v>June</v>
      </c>
      <c r="J474" s="3">
        <f>Table1[[#This Row],[Profit]]/Table1[[#This Row],[Sales Amount]]</f>
        <v>0.80183552711025241</v>
      </c>
    </row>
    <row r="475" spans="1:10" x14ac:dyDescent="0.35">
      <c r="A475" s="1">
        <v>45216</v>
      </c>
      <c r="B475" t="s">
        <v>7</v>
      </c>
      <c r="C475" t="s">
        <v>11</v>
      </c>
      <c r="D475" t="s">
        <v>14</v>
      </c>
      <c r="E475">
        <v>8</v>
      </c>
      <c r="F475">
        <v>181.63</v>
      </c>
      <c r="G475">
        <v>31.33</v>
      </c>
      <c r="H475">
        <f>YEAR(Table1[[#This Row],[Order Date]])</f>
        <v>2023</v>
      </c>
      <c r="I475" t="str">
        <f>TEXT(Table1[[#This Row],[Order Date]],"mmmm")</f>
        <v>October</v>
      </c>
      <c r="J475" s="3">
        <f>Table1[[#This Row],[Profit]]/Table1[[#This Row],[Sales Amount]]</f>
        <v>0.17249353080438254</v>
      </c>
    </row>
    <row r="476" spans="1:10" x14ac:dyDescent="0.35">
      <c r="A476" s="1">
        <v>44953</v>
      </c>
      <c r="B476" t="s">
        <v>10</v>
      </c>
      <c r="C476" t="s">
        <v>11</v>
      </c>
      <c r="D476" t="s">
        <v>22</v>
      </c>
      <c r="E476">
        <v>7</v>
      </c>
      <c r="F476">
        <v>264.39999999999998</v>
      </c>
      <c r="G476">
        <v>41.64</v>
      </c>
      <c r="H476">
        <f>YEAR(Table1[[#This Row],[Order Date]])</f>
        <v>2023</v>
      </c>
      <c r="I476" t="str">
        <f>TEXT(Table1[[#This Row],[Order Date]],"mmmm")</f>
        <v>January</v>
      </c>
      <c r="J476" s="3">
        <f>Table1[[#This Row],[Profit]]/Table1[[#This Row],[Sales Amount]]</f>
        <v>0.15748865355521938</v>
      </c>
    </row>
    <row r="477" spans="1:10" x14ac:dyDescent="0.35">
      <c r="A477" s="1">
        <v>45084</v>
      </c>
      <c r="B477" t="s">
        <v>8</v>
      </c>
      <c r="C477" t="s">
        <v>12</v>
      </c>
      <c r="D477" t="s">
        <v>21</v>
      </c>
      <c r="E477">
        <v>5</v>
      </c>
      <c r="F477">
        <v>146.58000000000001</v>
      </c>
      <c r="G477">
        <v>68.260000000000005</v>
      </c>
      <c r="H477">
        <f>YEAR(Table1[[#This Row],[Order Date]])</f>
        <v>2023</v>
      </c>
      <c r="I477" t="str">
        <f>TEXT(Table1[[#This Row],[Order Date]],"mmmm")</f>
        <v>June</v>
      </c>
      <c r="J477" s="3">
        <f>Table1[[#This Row],[Profit]]/Table1[[#This Row],[Sales Amount]]</f>
        <v>0.46568426797653156</v>
      </c>
    </row>
    <row r="478" spans="1:10" x14ac:dyDescent="0.35">
      <c r="A478" s="1">
        <v>45140</v>
      </c>
      <c r="B478" t="s">
        <v>7</v>
      </c>
      <c r="C478" t="s">
        <v>12</v>
      </c>
      <c r="D478" t="s">
        <v>21</v>
      </c>
      <c r="E478">
        <v>7</v>
      </c>
      <c r="F478">
        <v>276.39</v>
      </c>
      <c r="G478">
        <v>72.91</v>
      </c>
      <c r="H478">
        <f>YEAR(Table1[[#This Row],[Order Date]])</f>
        <v>2023</v>
      </c>
      <c r="I478" t="str">
        <f>TEXT(Table1[[#This Row],[Order Date]],"mmmm")</f>
        <v>August</v>
      </c>
      <c r="J478" s="3">
        <f>Table1[[#This Row],[Profit]]/Table1[[#This Row],[Sales Amount]]</f>
        <v>0.26379391439632405</v>
      </c>
    </row>
    <row r="479" spans="1:10" x14ac:dyDescent="0.35">
      <c r="A479" s="1">
        <v>44980</v>
      </c>
      <c r="B479" t="s">
        <v>9</v>
      </c>
      <c r="C479" t="s">
        <v>13</v>
      </c>
      <c r="D479" t="s">
        <v>18</v>
      </c>
      <c r="E479">
        <v>2</v>
      </c>
      <c r="F479">
        <v>371.28</v>
      </c>
      <c r="G479">
        <v>125.15</v>
      </c>
      <c r="H479">
        <f>YEAR(Table1[[#This Row],[Order Date]])</f>
        <v>2023</v>
      </c>
      <c r="I479" t="str">
        <f>TEXT(Table1[[#This Row],[Order Date]],"mmmm")</f>
        <v>February</v>
      </c>
      <c r="J479" s="3">
        <f>Table1[[#This Row],[Profit]]/Table1[[#This Row],[Sales Amount]]</f>
        <v>0.33707713854772681</v>
      </c>
    </row>
    <row r="480" spans="1:10" x14ac:dyDescent="0.35">
      <c r="A480" s="1">
        <v>44948</v>
      </c>
      <c r="B480" t="s">
        <v>10</v>
      </c>
      <c r="C480" t="s">
        <v>11</v>
      </c>
      <c r="D480" t="s">
        <v>14</v>
      </c>
      <c r="E480">
        <v>4</v>
      </c>
      <c r="F480">
        <v>114.29</v>
      </c>
      <c r="G480">
        <v>118.55</v>
      </c>
      <c r="H480">
        <f>YEAR(Table1[[#This Row],[Order Date]])</f>
        <v>2023</v>
      </c>
      <c r="I480" t="str">
        <f>TEXT(Table1[[#This Row],[Order Date]],"mmmm")</f>
        <v>January</v>
      </c>
      <c r="J480" s="3">
        <f>Table1[[#This Row],[Profit]]/Table1[[#This Row],[Sales Amount]]</f>
        <v>1.0372736022399158</v>
      </c>
    </row>
    <row r="481" spans="1:10" x14ac:dyDescent="0.35">
      <c r="A481" s="1">
        <v>44938</v>
      </c>
      <c r="B481" t="s">
        <v>7</v>
      </c>
      <c r="C481" t="s">
        <v>13</v>
      </c>
      <c r="D481" t="s">
        <v>19</v>
      </c>
      <c r="E481">
        <v>2</v>
      </c>
      <c r="F481">
        <v>110.22</v>
      </c>
      <c r="G481">
        <v>98.14</v>
      </c>
      <c r="H481">
        <f>YEAR(Table1[[#This Row],[Order Date]])</f>
        <v>2023</v>
      </c>
      <c r="I481" t="str">
        <f>TEXT(Table1[[#This Row],[Order Date]],"mmmm")</f>
        <v>January</v>
      </c>
      <c r="J481" s="3">
        <f>Table1[[#This Row],[Profit]]/Table1[[#This Row],[Sales Amount]]</f>
        <v>0.89040101614951916</v>
      </c>
    </row>
    <row r="482" spans="1:10" x14ac:dyDescent="0.35">
      <c r="A482" s="1">
        <v>45287</v>
      </c>
      <c r="B482" t="s">
        <v>9</v>
      </c>
      <c r="C482" t="s">
        <v>11</v>
      </c>
      <c r="D482" t="s">
        <v>22</v>
      </c>
      <c r="E482">
        <v>9</v>
      </c>
      <c r="F482">
        <v>50.06</v>
      </c>
      <c r="G482">
        <v>81.56</v>
      </c>
      <c r="H482">
        <f>YEAR(Table1[[#This Row],[Order Date]])</f>
        <v>2023</v>
      </c>
      <c r="I482" t="str">
        <f>TEXT(Table1[[#This Row],[Order Date]],"mmmm")</f>
        <v>December</v>
      </c>
      <c r="J482" s="3">
        <f>Table1[[#This Row],[Profit]]/Table1[[#This Row],[Sales Amount]]</f>
        <v>1.6292449061126648</v>
      </c>
    </row>
    <row r="483" spans="1:10" x14ac:dyDescent="0.35">
      <c r="A483" s="1">
        <v>45200</v>
      </c>
      <c r="B483" t="s">
        <v>9</v>
      </c>
      <c r="C483" t="s">
        <v>13</v>
      </c>
      <c r="D483" t="s">
        <v>18</v>
      </c>
      <c r="E483">
        <v>6</v>
      </c>
      <c r="F483">
        <v>453.08</v>
      </c>
      <c r="G483">
        <v>91.66</v>
      </c>
      <c r="H483">
        <f>YEAR(Table1[[#This Row],[Order Date]])</f>
        <v>2023</v>
      </c>
      <c r="I483" t="str">
        <f>TEXT(Table1[[#This Row],[Order Date]],"mmmm")</f>
        <v>October</v>
      </c>
      <c r="J483" s="3">
        <f>Table1[[#This Row],[Profit]]/Table1[[#This Row],[Sales Amount]]</f>
        <v>0.20230422883376004</v>
      </c>
    </row>
    <row r="484" spans="1:10" x14ac:dyDescent="0.35">
      <c r="A484" s="1">
        <v>45251</v>
      </c>
      <c r="B484" t="s">
        <v>9</v>
      </c>
      <c r="C484" t="s">
        <v>12</v>
      </c>
      <c r="D484" t="s">
        <v>21</v>
      </c>
      <c r="E484">
        <v>9</v>
      </c>
      <c r="F484">
        <v>212.11</v>
      </c>
      <c r="G484">
        <v>47.86</v>
      </c>
      <c r="H484">
        <f>YEAR(Table1[[#This Row],[Order Date]])</f>
        <v>2023</v>
      </c>
      <c r="I484" t="str">
        <f>TEXT(Table1[[#This Row],[Order Date]],"mmmm")</f>
        <v>November</v>
      </c>
      <c r="J484" s="3">
        <f>Table1[[#This Row],[Profit]]/Table1[[#This Row],[Sales Amount]]</f>
        <v>0.22563764084673046</v>
      </c>
    </row>
    <row r="485" spans="1:10" x14ac:dyDescent="0.35">
      <c r="A485" s="1">
        <v>45088</v>
      </c>
      <c r="B485" t="s">
        <v>9</v>
      </c>
      <c r="C485" t="s">
        <v>11</v>
      </c>
      <c r="D485" t="s">
        <v>15</v>
      </c>
      <c r="E485">
        <v>3</v>
      </c>
      <c r="F485">
        <v>245.22</v>
      </c>
      <c r="G485">
        <v>137.38999999999999</v>
      </c>
      <c r="H485">
        <f>YEAR(Table1[[#This Row],[Order Date]])</f>
        <v>2023</v>
      </c>
      <c r="I485" t="str">
        <f>TEXT(Table1[[#This Row],[Order Date]],"mmmm")</f>
        <v>June</v>
      </c>
      <c r="J485" s="3">
        <f>Table1[[#This Row],[Profit]]/Table1[[#This Row],[Sales Amount]]</f>
        <v>0.5602724084495555</v>
      </c>
    </row>
    <row r="486" spans="1:10" x14ac:dyDescent="0.35">
      <c r="A486" s="1">
        <v>45112</v>
      </c>
      <c r="B486" t="s">
        <v>7</v>
      </c>
      <c r="C486" t="s">
        <v>11</v>
      </c>
      <c r="D486" t="s">
        <v>15</v>
      </c>
      <c r="E486">
        <v>1</v>
      </c>
      <c r="F486">
        <v>468.58</v>
      </c>
      <c r="G486">
        <v>128.19</v>
      </c>
      <c r="H486">
        <f>YEAR(Table1[[#This Row],[Order Date]])</f>
        <v>2023</v>
      </c>
      <c r="I486" t="str">
        <f>TEXT(Table1[[#This Row],[Order Date]],"mmmm")</f>
        <v>July</v>
      </c>
      <c r="J486" s="3">
        <f>Table1[[#This Row],[Profit]]/Table1[[#This Row],[Sales Amount]]</f>
        <v>0.27357121516069827</v>
      </c>
    </row>
    <row r="487" spans="1:10" x14ac:dyDescent="0.35">
      <c r="A487" s="1">
        <v>45101</v>
      </c>
      <c r="B487" t="s">
        <v>7</v>
      </c>
      <c r="C487" t="s">
        <v>11</v>
      </c>
      <c r="D487" t="s">
        <v>22</v>
      </c>
      <c r="E487">
        <v>5</v>
      </c>
      <c r="F487">
        <v>443.98</v>
      </c>
      <c r="G487">
        <v>35.590000000000003</v>
      </c>
      <c r="H487">
        <f>YEAR(Table1[[#This Row],[Order Date]])</f>
        <v>2023</v>
      </c>
      <c r="I487" t="str">
        <f>TEXT(Table1[[#This Row],[Order Date]],"mmmm")</f>
        <v>June</v>
      </c>
      <c r="J487" s="3">
        <f>Table1[[#This Row],[Profit]]/Table1[[#This Row],[Sales Amount]]</f>
        <v>8.0161268525609272E-2</v>
      </c>
    </row>
    <row r="488" spans="1:10" x14ac:dyDescent="0.35">
      <c r="A488" s="1">
        <v>45199</v>
      </c>
      <c r="B488" t="s">
        <v>9</v>
      </c>
      <c r="C488" t="s">
        <v>11</v>
      </c>
      <c r="D488" t="s">
        <v>14</v>
      </c>
      <c r="E488">
        <v>9</v>
      </c>
      <c r="F488">
        <v>184.12</v>
      </c>
      <c r="G488">
        <v>24.75</v>
      </c>
      <c r="H488">
        <f>YEAR(Table1[[#This Row],[Order Date]])</f>
        <v>2023</v>
      </c>
      <c r="I488" t="str">
        <f>TEXT(Table1[[#This Row],[Order Date]],"mmmm")</f>
        <v>September</v>
      </c>
      <c r="J488" s="3">
        <f>Table1[[#This Row],[Profit]]/Table1[[#This Row],[Sales Amount]]</f>
        <v>0.13442320225939605</v>
      </c>
    </row>
    <row r="489" spans="1:10" x14ac:dyDescent="0.35">
      <c r="A489" s="1">
        <v>45137</v>
      </c>
      <c r="B489" t="s">
        <v>9</v>
      </c>
      <c r="C489" t="s">
        <v>11</v>
      </c>
      <c r="D489" t="s">
        <v>22</v>
      </c>
      <c r="E489">
        <v>1</v>
      </c>
      <c r="F489">
        <v>212.02</v>
      </c>
      <c r="G489">
        <v>143.94999999999999</v>
      </c>
      <c r="H489">
        <f>YEAR(Table1[[#This Row],[Order Date]])</f>
        <v>2023</v>
      </c>
      <c r="I489" t="str">
        <f>TEXT(Table1[[#This Row],[Order Date]],"mmmm")</f>
        <v>July</v>
      </c>
      <c r="J489" s="3">
        <f>Table1[[#This Row],[Profit]]/Table1[[#This Row],[Sales Amount]]</f>
        <v>0.67894538251108383</v>
      </c>
    </row>
    <row r="490" spans="1:10" x14ac:dyDescent="0.35">
      <c r="A490" s="1">
        <v>45281</v>
      </c>
      <c r="B490" t="s">
        <v>7</v>
      </c>
      <c r="C490" t="s">
        <v>12</v>
      </c>
      <c r="D490" t="s">
        <v>16</v>
      </c>
      <c r="E490">
        <v>3</v>
      </c>
      <c r="F490">
        <v>216.42</v>
      </c>
      <c r="G490">
        <v>17.329999999999998</v>
      </c>
      <c r="H490">
        <f>YEAR(Table1[[#This Row],[Order Date]])</f>
        <v>2023</v>
      </c>
      <c r="I490" t="str">
        <f>TEXT(Table1[[#This Row],[Order Date]],"mmmm")</f>
        <v>December</v>
      </c>
      <c r="J490" s="3">
        <f>Table1[[#This Row],[Profit]]/Table1[[#This Row],[Sales Amount]]</f>
        <v>8.0075778578689583E-2</v>
      </c>
    </row>
    <row r="491" spans="1:10" x14ac:dyDescent="0.35">
      <c r="A491" s="1">
        <v>44939</v>
      </c>
      <c r="B491" t="s">
        <v>10</v>
      </c>
      <c r="C491" t="s">
        <v>12</v>
      </c>
      <c r="D491" t="s">
        <v>21</v>
      </c>
      <c r="E491">
        <v>4</v>
      </c>
      <c r="F491">
        <v>432.66</v>
      </c>
      <c r="G491">
        <v>39.68</v>
      </c>
      <c r="H491">
        <f>YEAR(Table1[[#This Row],[Order Date]])</f>
        <v>2023</v>
      </c>
      <c r="I491" t="str">
        <f>TEXT(Table1[[#This Row],[Order Date]],"mmmm")</f>
        <v>January</v>
      </c>
      <c r="J491" s="3">
        <f>Table1[[#This Row],[Profit]]/Table1[[#This Row],[Sales Amount]]</f>
        <v>9.1711736698562377E-2</v>
      </c>
    </row>
    <row r="492" spans="1:10" x14ac:dyDescent="0.35">
      <c r="A492" s="1">
        <v>45092</v>
      </c>
      <c r="B492" t="s">
        <v>7</v>
      </c>
      <c r="C492" t="s">
        <v>12</v>
      </c>
      <c r="D492" t="s">
        <v>16</v>
      </c>
      <c r="E492">
        <v>8</v>
      </c>
      <c r="F492">
        <v>341.47</v>
      </c>
      <c r="G492">
        <v>121.47</v>
      </c>
      <c r="H492">
        <f>YEAR(Table1[[#This Row],[Order Date]])</f>
        <v>2023</v>
      </c>
      <c r="I492" t="str">
        <f>TEXT(Table1[[#This Row],[Order Date]],"mmmm")</f>
        <v>June</v>
      </c>
      <c r="J492" s="3">
        <f>Table1[[#This Row],[Profit]]/Table1[[#This Row],[Sales Amount]]</f>
        <v>0.35572671098485953</v>
      </c>
    </row>
    <row r="493" spans="1:10" x14ac:dyDescent="0.35">
      <c r="A493" s="1">
        <v>45099</v>
      </c>
      <c r="B493" t="s">
        <v>8</v>
      </c>
      <c r="C493" t="s">
        <v>11</v>
      </c>
      <c r="D493" t="s">
        <v>15</v>
      </c>
      <c r="E493">
        <v>9</v>
      </c>
      <c r="F493">
        <v>111.47</v>
      </c>
      <c r="G493">
        <v>101.23</v>
      </c>
      <c r="H493">
        <f>YEAR(Table1[[#This Row],[Order Date]])</f>
        <v>2023</v>
      </c>
      <c r="I493" t="str">
        <f>TEXT(Table1[[#This Row],[Order Date]],"mmmm")</f>
        <v>June</v>
      </c>
      <c r="J493" s="3">
        <f>Table1[[#This Row],[Profit]]/Table1[[#This Row],[Sales Amount]]</f>
        <v>0.90813671839956944</v>
      </c>
    </row>
    <row r="494" spans="1:10" x14ac:dyDescent="0.35">
      <c r="A494" s="1">
        <v>44929</v>
      </c>
      <c r="B494" t="s">
        <v>9</v>
      </c>
      <c r="C494" t="s">
        <v>13</v>
      </c>
      <c r="D494" t="s">
        <v>18</v>
      </c>
      <c r="E494">
        <v>5</v>
      </c>
      <c r="F494">
        <v>356.99</v>
      </c>
      <c r="G494">
        <v>75.540000000000006</v>
      </c>
      <c r="H494">
        <f>YEAR(Table1[[#This Row],[Order Date]])</f>
        <v>2023</v>
      </c>
      <c r="I494" t="str">
        <f>TEXT(Table1[[#This Row],[Order Date]],"mmmm")</f>
        <v>January</v>
      </c>
      <c r="J494" s="3">
        <f>Table1[[#This Row],[Profit]]/Table1[[#This Row],[Sales Amount]]</f>
        <v>0.21160256589820445</v>
      </c>
    </row>
    <row r="495" spans="1:10" x14ac:dyDescent="0.35">
      <c r="A495" s="1">
        <v>45282</v>
      </c>
      <c r="B495" t="s">
        <v>8</v>
      </c>
      <c r="C495" t="s">
        <v>12</v>
      </c>
      <c r="D495" t="s">
        <v>17</v>
      </c>
      <c r="E495">
        <v>3</v>
      </c>
      <c r="F495">
        <v>350.09</v>
      </c>
      <c r="G495">
        <v>125.26</v>
      </c>
      <c r="H495">
        <f>YEAR(Table1[[#This Row],[Order Date]])</f>
        <v>2023</v>
      </c>
      <c r="I495" t="str">
        <f>TEXT(Table1[[#This Row],[Order Date]],"mmmm")</f>
        <v>December</v>
      </c>
      <c r="J495" s="3">
        <f>Table1[[#This Row],[Profit]]/Table1[[#This Row],[Sales Amount]]</f>
        <v>0.35779371018880862</v>
      </c>
    </row>
    <row r="496" spans="1:10" x14ac:dyDescent="0.35">
      <c r="A496" s="1">
        <v>45064</v>
      </c>
      <c r="B496" t="s">
        <v>8</v>
      </c>
      <c r="C496" t="s">
        <v>13</v>
      </c>
      <c r="D496" t="s">
        <v>19</v>
      </c>
      <c r="E496">
        <v>5</v>
      </c>
      <c r="F496">
        <v>359.62</v>
      </c>
      <c r="G496">
        <v>43.86</v>
      </c>
      <c r="H496">
        <f>YEAR(Table1[[#This Row],[Order Date]])</f>
        <v>2023</v>
      </c>
      <c r="I496" t="str">
        <f>TEXT(Table1[[#This Row],[Order Date]],"mmmm")</f>
        <v>May</v>
      </c>
      <c r="J496" s="3">
        <f>Table1[[#This Row],[Profit]]/Table1[[#This Row],[Sales Amount]]</f>
        <v>0.12196207107502363</v>
      </c>
    </row>
    <row r="497" spans="1:10" x14ac:dyDescent="0.35">
      <c r="A497" s="1">
        <v>45206</v>
      </c>
      <c r="B497" t="s">
        <v>10</v>
      </c>
      <c r="C497" t="s">
        <v>13</v>
      </c>
      <c r="D497" t="s">
        <v>18</v>
      </c>
      <c r="E497">
        <v>1</v>
      </c>
      <c r="F497">
        <v>105.97</v>
      </c>
      <c r="G497">
        <v>67.91</v>
      </c>
      <c r="H497">
        <f>YEAR(Table1[[#This Row],[Order Date]])</f>
        <v>2023</v>
      </c>
      <c r="I497" t="str">
        <f>TEXT(Table1[[#This Row],[Order Date]],"mmmm")</f>
        <v>October</v>
      </c>
      <c r="J497" s="3">
        <f>Table1[[#This Row],[Profit]]/Table1[[#This Row],[Sales Amount]]</f>
        <v>0.64084174766443336</v>
      </c>
    </row>
    <row r="498" spans="1:10" x14ac:dyDescent="0.35">
      <c r="A498" s="1">
        <v>45037</v>
      </c>
      <c r="B498" t="s">
        <v>10</v>
      </c>
      <c r="C498" t="s">
        <v>12</v>
      </c>
      <c r="D498" t="s">
        <v>21</v>
      </c>
      <c r="E498">
        <v>6</v>
      </c>
      <c r="F498">
        <v>170</v>
      </c>
      <c r="G498">
        <v>111.48</v>
      </c>
      <c r="H498">
        <f>YEAR(Table1[[#This Row],[Order Date]])</f>
        <v>2023</v>
      </c>
      <c r="I498" t="str">
        <f>TEXT(Table1[[#This Row],[Order Date]],"mmmm")</f>
        <v>April</v>
      </c>
      <c r="J498" s="3">
        <f>Table1[[#This Row],[Profit]]/Table1[[#This Row],[Sales Amount]]</f>
        <v>0.65576470588235292</v>
      </c>
    </row>
    <row r="499" spans="1:10" x14ac:dyDescent="0.35">
      <c r="A499" s="1">
        <v>45154</v>
      </c>
      <c r="B499" t="s">
        <v>10</v>
      </c>
      <c r="C499" t="s">
        <v>12</v>
      </c>
      <c r="D499" t="s">
        <v>16</v>
      </c>
      <c r="E499">
        <v>6</v>
      </c>
      <c r="F499">
        <v>393.04</v>
      </c>
      <c r="G499">
        <v>73.69</v>
      </c>
      <c r="H499">
        <f>YEAR(Table1[[#This Row],[Order Date]])</f>
        <v>2023</v>
      </c>
      <c r="I499" t="str">
        <f>TEXT(Table1[[#This Row],[Order Date]],"mmmm")</f>
        <v>August</v>
      </c>
      <c r="J499" s="3">
        <f>Table1[[#This Row],[Profit]]/Table1[[#This Row],[Sales Amount]]</f>
        <v>0.18748727864848361</v>
      </c>
    </row>
    <row r="500" spans="1:10" x14ac:dyDescent="0.35">
      <c r="A500" s="1">
        <v>45030</v>
      </c>
      <c r="B500" t="s">
        <v>9</v>
      </c>
      <c r="C500" t="s">
        <v>11</v>
      </c>
      <c r="D500" t="s">
        <v>15</v>
      </c>
      <c r="E500">
        <v>6</v>
      </c>
      <c r="F500">
        <v>57.63</v>
      </c>
      <c r="G500">
        <v>117.82</v>
      </c>
      <c r="H500">
        <f>YEAR(Table1[[#This Row],[Order Date]])</f>
        <v>2023</v>
      </c>
      <c r="I500" t="str">
        <f>TEXT(Table1[[#This Row],[Order Date]],"mmmm")</f>
        <v>April</v>
      </c>
      <c r="J500" s="3">
        <f>Table1[[#This Row],[Profit]]/Table1[[#This Row],[Sales Amount]]</f>
        <v>2.0444213083463474</v>
      </c>
    </row>
    <row r="501" spans="1:10" x14ac:dyDescent="0.35">
      <c r="A501" s="1">
        <v>45159</v>
      </c>
      <c r="B501" t="s">
        <v>10</v>
      </c>
      <c r="C501" t="s">
        <v>13</v>
      </c>
      <c r="D501" t="s">
        <v>20</v>
      </c>
      <c r="E501">
        <v>6</v>
      </c>
      <c r="F501">
        <v>245.98</v>
      </c>
      <c r="G501">
        <v>56.49</v>
      </c>
      <c r="H501">
        <f>YEAR(Table1[[#This Row],[Order Date]])</f>
        <v>2023</v>
      </c>
      <c r="I501" t="str">
        <f>TEXT(Table1[[#This Row],[Order Date]],"mmmm")</f>
        <v>August</v>
      </c>
      <c r="J501" s="3">
        <f>Table1[[#This Row],[Profit]]/Table1[[#This Row],[Sales Amount]]</f>
        <v>0.2296528173022197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Benedicta Onwenna</cp:lastModifiedBy>
  <dcterms:created xsi:type="dcterms:W3CDTF">2026-01-06T10:23:13Z</dcterms:created>
  <dcterms:modified xsi:type="dcterms:W3CDTF">2026-01-06T10:30:11Z</dcterms:modified>
</cp:coreProperties>
</file>